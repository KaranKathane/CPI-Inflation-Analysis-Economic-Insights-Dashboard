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bookViews>
    <workbookView xWindow="0" yWindow="0" windowWidth="23040" windowHeight="8940"/>
  </bookViews>
  <sheets>
    <sheet name="Objective5" sheetId="9" r:id="rId1"/>
    <sheet name="Objective4" sheetId="8" r:id="rId2"/>
    <sheet name="Objective3" sheetId="7" r:id="rId3"/>
    <sheet name="Objective2" sheetId="6" r:id="rId4"/>
    <sheet name="Objective1" sheetId="5" r:id="rId5"/>
    <sheet name="Notes" sheetId="4" r:id="rId6"/>
    <sheet name="Sample_Size_Study" sheetId="3" r:id="rId7"/>
    <sheet name="Raw_Data" sheetId="1" r:id="rId8"/>
    <sheet name="Imported" sheetId="2" r:id="rId9"/>
    <sheet name="Crude_Oil" sheetId="10" r:id="rId10"/>
  </sheets>
  <definedNames>
    <definedName name="ExternalData_1" localSheetId="8" hidden="1">Imported!$A$1:$AD$373</definedName>
  </definedNames>
  <calcPr calcId="162913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9" l="1"/>
  <c r="O8" i="9"/>
  <c r="O7" i="9"/>
  <c r="O6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I7" i="9"/>
  <c r="J7" i="9"/>
  <c r="K7" i="9"/>
  <c r="I8" i="9"/>
  <c r="J8" i="9"/>
  <c r="K8" i="9"/>
  <c r="I9" i="9"/>
  <c r="J9" i="9"/>
  <c r="K9" i="9"/>
  <c r="I10" i="9"/>
  <c r="J10" i="9"/>
  <c r="K10" i="9"/>
  <c r="I11" i="9"/>
  <c r="J11" i="9"/>
  <c r="K11" i="9"/>
  <c r="I12" i="9"/>
  <c r="J12" i="9"/>
  <c r="K12" i="9"/>
  <c r="I13" i="9"/>
  <c r="J13" i="9"/>
  <c r="K13" i="9"/>
  <c r="I14" i="9"/>
  <c r="J14" i="9"/>
  <c r="K14" i="9"/>
  <c r="I15" i="9"/>
  <c r="J15" i="9"/>
  <c r="K15" i="9"/>
  <c r="I16" i="9"/>
  <c r="J16" i="9"/>
  <c r="K16" i="9"/>
  <c r="I17" i="9"/>
  <c r="J17" i="9"/>
  <c r="K17" i="9"/>
  <c r="I18" i="9"/>
  <c r="J18" i="9"/>
  <c r="K18" i="9"/>
  <c r="I19" i="9"/>
  <c r="J19" i="9"/>
  <c r="K19" i="9"/>
  <c r="I20" i="9"/>
  <c r="J20" i="9"/>
  <c r="K20" i="9"/>
  <c r="I21" i="9"/>
  <c r="J21" i="9"/>
  <c r="K21" i="9"/>
  <c r="I22" i="9"/>
  <c r="J22" i="9"/>
  <c r="K22" i="9"/>
  <c r="I23" i="9"/>
  <c r="J23" i="9"/>
  <c r="K23" i="9"/>
  <c r="I24" i="9"/>
  <c r="J24" i="9"/>
  <c r="K24" i="9"/>
  <c r="I25" i="9"/>
  <c r="J25" i="9"/>
  <c r="K25" i="9"/>
  <c r="I26" i="9"/>
  <c r="J26" i="9"/>
  <c r="K26" i="9"/>
  <c r="I27" i="9"/>
  <c r="J27" i="9"/>
  <c r="K27" i="9"/>
  <c r="I28" i="9"/>
  <c r="J28" i="9"/>
  <c r="K28" i="9"/>
  <c r="I29" i="9"/>
  <c r="J29" i="9"/>
  <c r="K29" i="9"/>
  <c r="I30" i="9"/>
  <c r="J30" i="9"/>
  <c r="K30" i="9"/>
  <c r="I31" i="9"/>
  <c r="J31" i="9"/>
  <c r="K31" i="9"/>
  <c r="I32" i="9"/>
  <c r="J32" i="9"/>
  <c r="K32" i="9"/>
  <c r="I33" i="9"/>
  <c r="J33" i="9"/>
  <c r="K33" i="9"/>
  <c r="I34" i="9"/>
  <c r="J34" i="9"/>
  <c r="K34" i="9"/>
  <c r="L6" i="9"/>
  <c r="K6" i="9"/>
  <c r="J6" i="9"/>
  <c r="I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6" i="9"/>
  <c r="E22" i="8"/>
  <c r="F22" i="8" s="1"/>
  <c r="E21" i="8"/>
  <c r="F21" i="8" s="1"/>
  <c r="E20" i="8"/>
  <c r="F20" i="8" s="1"/>
  <c r="D22" i="8"/>
  <c r="D21" i="8"/>
  <c r="D20" i="8"/>
  <c r="E19" i="8"/>
  <c r="D19" i="8"/>
  <c r="F19" i="8" s="1"/>
  <c r="H5" i="8"/>
  <c r="I5" i="8"/>
  <c r="J5" i="8"/>
  <c r="G5" i="8"/>
  <c r="H6" i="8"/>
  <c r="I6" i="8"/>
  <c r="J6" i="8"/>
  <c r="H7" i="8"/>
  <c r="I7" i="8"/>
  <c r="J7" i="8"/>
  <c r="H8" i="8"/>
  <c r="I8" i="8"/>
  <c r="J8" i="8"/>
  <c r="H9" i="8"/>
  <c r="I9" i="8"/>
  <c r="J9" i="8"/>
  <c r="H10" i="8"/>
  <c r="I10" i="8"/>
  <c r="J10" i="8"/>
  <c r="H11" i="8"/>
  <c r="I11" i="8"/>
  <c r="J11" i="8"/>
  <c r="H12" i="8"/>
  <c r="I12" i="8"/>
  <c r="J12" i="8"/>
  <c r="H13" i="8"/>
  <c r="I13" i="8"/>
  <c r="J13" i="8"/>
  <c r="H14" i="8"/>
  <c r="I14" i="8"/>
  <c r="J14" i="8"/>
  <c r="H15" i="8"/>
  <c r="I15" i="8"/>
  <c r="J15" i="8"/>
  <c r="H16" i="8"/>
  <c r="I16" i="8"/>
  <c r="J16" i="8"/>
  <c r="G7" i="8"/>
  <c r="G8" i="8"/>
  <c r="G9" i="8"/>
  <c r="G10" i="8"/>
  <c r="G11" i="8"/>
  <c r="G12" i="8"/>
  <c r="G13" i="8"/>
  <c r="G14" i="8"/>
  <c r="G15" i="8"/>
  <c r="G16" i="8"/>
  <c r="G6" i="8"/>
  <c r="G18" i="7"/>
  <c r="F18" i="7"/>
  <c r="D21" i="7"/>
  <c r="D22" i="7"/>
  <c r="D23" i="7"/>
  <c r="D24" i="7"/>
  <c r="D25" i="7"/>
  <c r="D26" i="7"/>
  <c r="D27" i="7"/>
  <c r="D28" i="7"/>
  <c r="D29" i="7"/>
  <c r="D30" i="7"/>
  <c r="D31" i="7"/>
  <c r="D20" i="7"/>
  <c r="H8" i="7"/>
  <c r="H7" i="7"/>
  <c r="H6" i="7"/>
  <c r="H5" i="7"/>
  <c r="I6" i="7"/>
  <c r="I5" i="7"/>
  <c r="E6" i="7"/>
  <c r="E7" i="7"/>
  <c r="E8" i="7"/>
  <c r="E9" i="7"/>
  <c r="E10" i="7"/>
  <c r="E11" i="7"/>
  <c r="E12" i="7"/>
  <c r="E13" i="7"/>
  <c r="E14" i="7"/>
  <c r="E15" i="7"/>
  <c r="E16" i="7"/>
  <c r="E5" i="7"/>
  <c r="E7" i="6" l="1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6" i="6"/>
  <c r="G5" i="5"/>
  <c r="F5" i="5"/>
  <c r="C6" i="5"/>
  <c r="C17" i="5" s="1"/>
  <c r="C7" i="5"/>
  <c r="C8" i="5"/>
  <c r="C9" i="5"/>
  <c r="C10" i="5"/>
  <c r="C11" i="5"/>
  <c r="C12" i="5"/>
  <c r="C13" i="5"/>
  <c r="C14" i="5"/>
  <c r="C15" i="5"/>
  <c r="C16" i="5"/>
  <c r="C5" i="5"/>
  <c r="B17" i="5"/>
  <c r="AA260" i="1"/>
  <c r="AB260" i="1"/>
  <c r="AC260" i="1"/>
  <c r="AD260" i="1"/>
  <c r="AA261" i="1"/>
  <c r="AB261" i="1"/>
  <c r="AC261" i="1"/>
  <c r="AD261" i="1"/>
  <c r="AA262" i="1"/>
  <c r="AB262" i="1"/>
  <c r="AC262" i="1"/>
  <c r="AD262" i="1"/>
  <c r="AA263" i="1"/>
  <c r="AB263" i="1"/>
  <c r="AC263" i="1"/>
  <c r="AD263" i="1"/>
  <c r="AA264" i="1"/>
  <c r="AB264" i="1"/>
  <c r="AC264" i="1"/>
  <c r="AD264" i="1"/>
  <c r="AA265" i="1"/>
  <c r="AB265" i="1"/>
  <c r="AC265" i="1"/>
  <c r="AD265" i="1"/>
  <c r="Z265" i="1"/>
  <c r="Z264" i="1"/>
  <c r="Z263" i="1"/>
  <c r="Z262" i="1"/>
  <c r="Z261" i="1"/>
  <c r="Z260" i="1"/>
  <c r="Y265" i="1"/>
  <c r="Y264" i="1"/>
  <c r="Y263" i="1"/>
  <c r="Y262" i="1"/>
  <c r="Y261" i="1"/>
  <c r="Y260" i="1"/>
  <c r="W265" i="1"/>
  <c r="W264" i="1"/>
  <c r="W263" i="1"/>
  <c r="W262" i="1"/>
  <c r="W261" i="1"/>
  <c r="W260" i="1"/>
  <c r="T265" i="1"/>
  <c r="T264" i="1"/>
  <c r="T263" i="1"/>
  <c r="T262" i="1"/>
  <c r="T261" i="1"/>
  <c r="T260" i="1"/>
  <c r="S265" i="1"/>
  <c r="S264" i="1"/>
  <c r="S263" i="1"/>
  <c r="S262" i="1"/>
  <c r="S261" i="1"/>
  <c r="S260" i="1"/>
  <c r="R265" i="1"/>
  <c r="R264" i="1"/>
  <c r="R263" i="1"/>
  <c r="R262" i="1"/>
  <c r="R261" i="1"/>
  <c r="R260" i="1"/>
  <c r="Q265" i="1"/>
  <c r="Q264" i="1"/>
  <c r="Q263" i="1"/>
  <c r="Q262" i="1"/>
  <c r="Q261" i="1"/>
  <c r="Q260" i="1"/>
  <c r="O265" i="1"/>
  <c r="O264" i="1"/>
  <c r="O263" i="1"/>
  <c r="O262" i="1"/>
  <c r="O261" i="1"/>
  <c r="O260" i="1"/>
  <c r="E264" i="1"/>
  <c r="E265" i="1"/>
  <c r="E263" i="1"/>
  <c r="E261" i="1"/>
  <c r="E262" i="1"/>
  <c r="E260" i="1"/>
  <c r="X265" i="1"/>
  <c r="X264" i="1"/>
  <c r="X263" i="1"/>
  <c r="V265" i="1"/>
  <c r="V264" i="1"/>
  <c r="V263" i="1"/>
  <c r="G263" i="1"/>
  <c r="H263" i="1"/>
  <c r="I263" i="1"/>
  <c r="J263" i="1"/>
  <c r="K263" i="1"/>
  <c r="L263" i="1"/>
  <c r="M263" i="1"/>
  <c r="N263" i="1"/>
  <c r="P263" i="1"/>
  <c r="G264" i="1"/>
  <c r="H264" i="1"/>
  <c r="I264" i="1"/>
  <c r="J264" i="1"/>
  <c r="K264" i="1"/>
  <c r="L264" i="1"/>
  <c r="M264" i="1"/>
  <c r="N264" i="1"/>
  <c r="P264" i="1"/>
  <c r="G265" i="1"/>
  <c r="H265" i="1"/>
  <c r="I265" i="1"/>
  <c r="J265" i="1"/>
  <c r="K265" i="1"/>
  <c r="L265" i="1"/>
  <c r="M265" i="1"/>
  <c r="N265" i="1"/>
  <c r="P265" i="1"/>
  <c r="F264" i="1"/>
  <c r="F265" i="1"/>
  <c r="D264" i="1"/>
  <c r="D265" i="1"/>
  <c r="F263" i="1"/>
  <c r="D263" i="1"/>
</calcChain>
</file>

<file path=xl/connections.xml><?xml version="1.0" encoding="utf-8"?>
<connections xmlns="http://schemas.openxmlformats.org/spreadsheetml/2006/main">
  <connection id="1" keepAlive="1" name="Query - All_India_Index_Upto_April23 (1) (1)" description="Connection to the 'All_India_Index_Upto_April23 (1) (1)' query in the workbook." type="5" refreshedVersion="6" background="1" saveData="1">
    <dbPr connection="Provider=Microsoft.Mashup.OleDb.1;Data Source=$Workbook$;Location=All_India_Index_Upto_April23 (1) (1);Extended Properties=&quot;&quot;" command="SELECT * FROM [All_India_Index_Upto_April23 (1) (1)]"/>
  </connection>
</connections>
</file>

<file path=xl/sharedStrings.xml><?xml version="1.0" encoding="utf-8"?>
<sst xmlns="http://schemas.openxmlformats.org/spreadsheetml/2006/main" count="2254" uniqueCount="228">
  <si>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</si>
  <si>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</si>
  <si>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</si>
  <si>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</si>
  <si>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</si>
  <si>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</si>
  <si>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</si>
  <si>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</si>
  <si>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</si>
  <si>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</si>
  <si>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</si>
  <si>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</si>
  <si>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</si>
  <si>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</si>
  <si>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</si>
  <si>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</si>
  <si>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</si>
  <si>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</si>
  <si>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</si>
  <si>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</si>
  <si>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</si>
  <si>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</si>
  <si>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</si>
  <si>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</si>
  <si>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</si>
  <si>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</si>
  <si>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</si>
  <si>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</si>
  <si>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</si>
  <si>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</si>
  <si>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</si>
  <si>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</si>
  <si>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</si>
  <si>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</si>
  <si>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</si>
  <si>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</si>
  <si>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</si>
  <si>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</si>
  <si>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</si>
  <si>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</si>
  <si>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</si>
  <si>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</si>
  <si>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</si>
  <si>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</si>
  <si>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</si>
  <si>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</si>
  <si>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</si>
  <si>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</si>
  <si>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</si>
  <si>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</si>
  <si>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</si>
  <si>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</si>
  <si>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</si>
  <si>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</si>
  <si>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</si>
  <si>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</si>
  <si>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</si>
  <si>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</si>
  <si>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</si>
  <si>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</si>
  <si>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</si>
  <si>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</si>
  <si>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</si>
  <si>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</si>
  <si>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</si>
  <si>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</si>
  <si>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</si>
  <si>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</si>
  <si>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</si>
  <si>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</si>
  <si>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</si>
  <si>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</si>
  <si>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</si>
  <si>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</si>
  <si>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</si>
  <si>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</si>
  <si>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</si>
  <si>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</si>
  <si>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</si>
  <si>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</si>
  <si>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</si>
  <si>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</si>
  <si>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</si>
  <si>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</si>
  <si>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</si>
  <si>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</si>
  <si>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</si>
  <si>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</si>
  <si>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</si>
  <si>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</si>
  <si>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</si>
  <si>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</si>
  <si>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</si>
  <si>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</si>
  <si>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</si>
  <si>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</si>
  <si>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</si>
  <si>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</si>
  <si>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</si>
  <si>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</si>
  <si>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</si>
  <si>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</si>
  <si>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</si>
  <si>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</si>
  <si>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</si>
  <si>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</si>
  <si>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</si>
  <si>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</si>
  <si>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</si>
  <si>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</si>
  <si>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</si>
  <si>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</si>
  <si>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</si>
  <si>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</si>
  <si>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</si>
  <si>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</si>
  <si>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</si>
  <si>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</si>
  <si>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</si>
  <si>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</si>
  <si>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</si>
  <si>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</si>
  <si>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</si>
  <si>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</si>
  <si>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</si>
  <si>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</si>
  <si>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</si>
  <si>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</si>
  <si>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</si>
  <si>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</si>
  <si>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</si>
  <si>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</si>
  <si>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</si>
  <si>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</si>
  <si>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</si>
  <si>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</si>
  <si>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</si>
  <si>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</si>
  <si>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</si>
  <si>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</si>
  <si>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</si>
  <si>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</si>
  <si>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</si>
  <si>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</si>
  <si>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</si>
  <si>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</si>
  <si>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</si>
  <si>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</si>
  <si>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</si>
  <si>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</si>
  <si>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</si>
  <si>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</si>
  <si>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</si>
  <si>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</si>
  <si>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</si>
  <si>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</si>
  <si>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</si>
  <si>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</si>
  <si>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</si>
  <si>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</si>
  <si>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</si>
  <si>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</si>
  <si>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</si>
  <si>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</si>
  <si>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</si>
  <si>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Column Labels</t>
  </si>
  <si>
    <t>Grand Total</t>
  </si>
  <si>
    <t>Row Labels</t>
  </si>
  <si>
    <t>Notes:</t>
  </si>
  <si>
    <t>assumption:</t>
  </si>
  <si>
    <t>data have outliers but it can depend on many factors so considering it and keeping it same.</t>
  </si>
  <si>
    <t>while importing duplicates can be take care in power query but already checked manully yr and month wise it don’t have duplicates.</t>
  </si>
  <si>
    <t>2020 april &amp; may have blanks - filled with moving avg</t>
  </si>
  <si>
    <t>Latest month (may 2023) broader category contribution to the total CPI &amp; category with highest contribution.</t>
  </si>
  <si>
    <t>Broad Category</t>
  </si>
  <si>
    <t>May-23 CPI</t>
  </si>
  <si>
    <t>Contribution %</t>
  </si>
  <si>
    <t>Total</t>
  </si>
  <si>
    <t>Highest Contribution</t>
  </si>
  <si>
    <t>YOY inflation of the overall CPI from 2017 , Yr with highest inflation and its reason</t>
  </si>
  <si>
    <t>same month previous year</t>
  </si>
  <si>
    <t>YOY Inflation %</t>
  </si>
  <si>
    <t>Average of YOY Inflation %</t>
  </si>
  <si>
    <t>Reason : post covid supply disruption which increased prices</t>
  </si>
  <si>
    <t>Food Inflation for the last 12 months</t>
  </si>
  <si>
    <t>Food and Bev CPI CM</t>
  </si>
  <si>
    <t>Food and Bev CPI PM</t>
  </si>
  <si>
    <t>MOM Food Inflation %</t>
  </si>
  <si>
    <t xml:space="preserve">Highest </t>
  </si>
  <si>
    <t>Lowest</t>
  </si>
  <si>
    <t>Inflation</t>
  </si>
  <si>
    <t>absolute</t>
  </si>
  <si>
    <t>absolute %</t>
  </si>
  <si>
    <t>Biggest individual category contributor</t>
  </si>
  <si>
    <t>Category</t>
  </si>
  <si>
    <t>absolute % change</t>
  </si>
  <si>
    <t>Highest contributor</t>
  </si>
  <si>
    <t>COVID 19 IMPACT ON Inflation</t>
  </si>
  <si>
    <t>Food and beverages Inflation</t>
  </si>
  <si>
    <t>Health Inflation</t>
  </si>
  <si>
    <t>Transport and communication Inflation</t>
  </si>
  <si>
    <t>General index Inflation</t>
  </si>
  <si>
    <t>Pre Covid avg jan-feb</t>
  </si>
  <si>
    <t>Change %</t>
  </si>
  <si>
    <t>Covid avg apr-dec</t>
  </si>
  <si>
    <t>Crude Oil vs Inflation</t>
  </si>
  <si>
    <t>Count of General index</t>
  </si>
  <si>
    <t>Crude Oil Price ($/barrel)</t>
  </si>
  <si>
    <t>Dec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</si>
  <si>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</si>
  <si>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</si>
  <si>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</si>
  <si>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</si>
  <si>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</si>
  <si>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</si>
  <si>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</si>
  <si>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</si>
  <si>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</si>
  <si>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</si>
  <si>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Crude Oil MOM Inflation</t>
  </si>
  <si>
    <t>Fuel and light Inflation</t>
  </si>
  <si>
    <t>Corelation with Crude oil Inflation</t>
  </si>
  <si>
    <t>Result: Fuel and light Inflation has highest correlation with crude oil of 0.17</t>
  </si>
  <si>
    <t>Result: Transport and communication Inflation change after Covid by 5.05%</t>
  </si>
  <si>
    <t>Result:for last 12 months highest Inflaion was for Oct 1.01% and lowest for dec -1.35% also highest contributor is spices that is 16.52%</t>
  </si>
  <si>
    <t>Result:2022 has highest inflation that is 6.62%</t>
  </si>
  <si>
    <t>Result:Highest Contribution Pan, tobacco and intoxicants that is 9.31%</t>
  </si>
  <si>
    <t>housing rural have NA &amp; (-) which is replaced by 0 and moving avg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</si>
</sst>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6"/>
      <color theme="1"/>
      <name val="Calibri"/>
      <family val="2"/>
      <scheme val="minor"/>
    </font>
    <font>
      <sz val="16"/>
      <color rgb="FF006100"/>
      <name val="Calibri"/>
      <family val="2"/>
      <scheme val="minor"/>
    </font>
    <font>
      <sz val="16"/>
      <color rgb="FF9C65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2" fillId="3" borderId="0" xfId="2"/>
    <xf numFmtId="0" fontId="0" fillId="0" borderId="1" xfId="0" applyBorder="1"/>
    <xf numFmtId="10" fontId="0" fillId="0" borderId="1" xfId="0" applyNumberFormat="1" applyBorder="1"/>
    <xf numFmtId="0" fontId="3" fillId="5" borderId="1" xfId="0" applyFont="1" applyFill="1" applyBorder="1"/>
    <xf numFmtId="0" fontId="0" fillId="4" borderId="1" xfId="0" applyFont="1" applyFill="1" applyBorder="1"/>
    <xf numFmtId="0" fontId="1" fillId="6" borderId="0" xfId="1" applyFill="1" applyAlignment="1">
      <alignment horizontal="center"/>
    </xf>
    <xf numFmtId="0" fontId="0" fillId="6" borderId="0" xfId="0" applyFill="1"/>
    <xf numFmtId="0" fontId="2" fillId="3" borderId="1" xfId="2" applyBorder="1" applyAlignment="1">
      <alignment horizontal="right"/>
    </xf>
    <xf numFmtId="0" fontId="2" fillId="3" borderId="1" xfId="2" applyBorder="1"/>
    <xf numFmtId="10" fontId="2" fillId="3" borderId="1" xfId="2" applyNumberFormat="1" applyBorder="1"/>
    <xf numFmtId="0" fontId="0" fillId="0" borderId="1" xfId="0" applyFont="1" applyBorder="1"/>
    <xf numFmtId="17" fontId="2" fillId="3" borderId="1" xfId="2" applyNumberFormat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0" fontId="0" fillId="9" borderId="1" xfId="0" applyNumberFormat="1" applyFill="1" applyBorder="1"/>
    <xf numFmtId="0" fontId="0" fillId="11" borderId="1" xfId="0" applyFill="1" applyBorder="1"/>
    <xf numFmtId="0" fontId="0" fillId="12" borderId="1" xfId="0" applyFill="1" applyBorder="1"/>
    <xf numFmtId="10" fontId="0" fillId="12" borderId="1" xfId="0" applyNumberFormat="1" applyFill="1" applyBorder="1"/>
    <xf numFmtId="10" fontId="0" fillId="7" borderId="1" xfId="0" applyNumberFormat="1" applyFill="1" applyBorder="1"/>
    <xf numFmtId="10" fontId="0" fillId="8" borderId="1" xfId="0" applyNumberFormat="1" applyFill="1" applyBorder="1"/>
    <xf numFmtId="164" fontId="0" fillId="0" borderId="1" xfId="0" applyNumberFormat="1" applyBorder="1"/>
    <xf numFmtId="0" fontId="1" fillId="2" borderId="0" xfId="1"/>
    <xf numFmtId="2" fontId="0" fillId="0" borderId="1" xfId="0" applyNumberFormat="1" applyBorder="1"/>
    <xf numFmtId="0" fontId="1" fillId="13" borderId="0" xfId="1" applyFill="1"/>
    <xf numFmtId="0" fontId="5" fillId="14" borderId="0" xfId="1" applyFont="1" applyFill="1"/>
    <xf numFmtId="0" fontId="4" fillId="14" borderId="0" xfId="0" applyFont="1" applyFill="1"/>
    <xf numFmtId="10" fontId="0" fillId="6" borderId="0" xfId="0" applyNumberFormat="1" applyFill="1"/>
    <xf numFmtId="0" fontId="5" fillId="10" borderId="0" xfId="1" applyFont="1" applyFill="1" applyAlignment="1">
      <alignment horizontal="left"/>
    </xf>
    <xf numFmtId="0" fontId="5" fillId="10" borderId="0" xfId="1" applyFont="1" applyFill="1" applyAlignment="1">
      <alignment horizontal="center"/>
    </xf>
    <xf numFmtId="0" fontId="4" fillId="10" borderId="0" xfId="0" applyFont="1" applyFill="1"/>
    <xf numFmtId="10" fontId="4" fillId="10" borderId="0" xfId="0" applyNumberFormat="1" applyFont="1" applyFill="1"/>
    <xf numFmtId="0" fontId="6" fillId="10" borderId="0" xfId="2" applyFont="1" applyFill="1" applyAlignment="1"/>
    <xf numFmtId="0" fontId="6" fillId="10" borderId="0" xfId="1" applyFont="1" applyFill="1" applyAlignment="1">
      <alignment horizontal="center"/>
    </xf>
    <xf numFmtId="0" fontId="2" fillId="3" borderId="1" xfId="2" applyBorder="1" applyAlignment="1">
      <alignment horizontal="center"/>
    </xf>
    <xf numFmtId="0" fontId="1" fillId="2" borderId="0" xfId="1" applyAlignment="1">
      <alignment horizontal="center"/>
    </xf>
    <xf numFmtId="0" fontId="5" fillId="10" borderId="0" xfId="1" applyFont="1" applyFill="1" applyAlignment="1">
      <alignment horizontal="left"/>
    </xf>
    <xf numFmtId="0" fontId="1" fillId="2" borderId="0" xfId="1" applyAlignment="1">
      <alignment horizontal="left"/>
    </xf>
  </cellXfs>
  <cellStyles count="3">
    <cellStyle name="Good" xfId="1" builtinId="26"/>
    <cellStyle name="Neutral" xfId="2" builtinId="28"/>
    <cellStyle name="Normal" xfId="0" builtinId="0"/>
  </cellStyles>
  <dxfs count="4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</a:t>
            </a:r>
            <a:r>
              <a:rPr lang="en-IN" baseline="0"/>
              <a:t> Covid Vs Covid Inflation change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Objective4!$D$18</c:f>
              <c:strCache>
                <c:ptCount val="1"/>
                <c:pt idx="0">
                  <c:v>Pre Covid avg jan-feb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Objective4!$C$19:$C$22</c:f>
              <c:strCache>
                <c:ptCount val="4"/>
                <c:pt idx="0">
                  <c:v>Food and beverages</c:v>
                </c:pt>
                <c:pt idx="1">
                  <c:v>Health</c:v>
                </c:pt>
                <c:pt idx="2">
                  <c:v>Transport and communication</c:v>
                </c:pt>
                <c:pt idx="3">
                  <c:v>General index</c:v>
                </c:pt>
              </c:strCache>
            </c:strRef>
          </c:cat>
          <c:val>
            <c:numRef>
              <c:f>Objective4!$D$19:$D$22</c:f>
              <c:numCache>
                <c:formatCode>0.0</c:formatCode>
                <c:ptCount val="4"/>
                <c:pt idx="0">
                  <c:v>152</c:v>
                </c:pt>
                <c:pt idx="1">
                  <c:v>151.44999999999999</c:v>
                </c:pt>
                <c:pt idx="2">
                  <c:v>130.60000000000002</c:v>
                </c:pt>
                <c:pt idx="3">
                  <c:v>149.64999999999998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9-494B-BB6E-B6BC7DAEE141}"/>
            </c:ext>
          </c:extLst>
        </c:ser>
        <c:ser>
          <c:idx val="1"/>
          <c:order val="1"/>
          <c:tx>
            <c:strRef>
              <c:f>Objective4!$E$18</c:f>
              <c:strCache>
                <c:ptCount val="1"/>
                <c:pt idx="0">
                  <c:v>Covid avg apr-dec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Objective4!$C$19:$C$22</c:f>
              <c:strCache>
                <c:ptCount val="4"/>
                <c:pt idx="0">
                  <c:v>Food and beverages</c:v>
                </c:pt>
                <c:pt idx="1">
                  <c:v>Health</c:v>
                </c:pt>
                <c:pt idx="2">
                  <c:v>Transport and communication</c:v>
                </c:pt>
                <c:pt idx="3">
                  <c:v>General index</c:v>
                </c:pt>
              </c:strCache>
            </c:strRef>
          </c:cat>
          <c:val>
            <c:numRef>
              <c:f>Objective4!$E$19:$E$22</c:f>
              <c:numCache>
                <c:formatCode>0.0</c:formatCode>
                <c:ptCount val="4"/>
                <c:pt idx="0">
                  <c:v>157.62222222222223</c:v>
                </c:pt>
                <c:pt idx="1">
                  <c:v>154.9388888888889</c:v>
                </c:pt>
                <c:pt idx="2">
                  <c:v>137.1888888888889</c:v>
                </c:pt>
                <c:pt idx="3">
                  <c:v>154.03333333333336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B9-494B-BB6E-B6BC7DAEE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024207"/>
        <c:axId val="1305040847"/>
      </c:barChart>
      <c:catAx>
        <c:axId val="130502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40847"/>
        <c:crosses val="autoZero"/>
        <c:auto val="1"/>
        <c:lblAlgn val="ctr"/>
        <c:lblOffset val="100"/>
        <c:noMultiLvlLbl val="0"/>
      </c:catAx>
      <c:valAx>
        <c:axId val="13050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2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Food</a:t>
            </a:r>
            <a:r>
              <a:rPr lang="en-IN" baseline="0"/>
              <a:t> Inflation for last 12 month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Objective3!$C$4</c:f>
              <c:strCache>
                <c:ptCount val="1"/>
                <c:pt idx="0">
                  <c:v>Food and Bev CPI 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Objective3!$B$5:$B$16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Objective3!$C$5:$C$16</c:f>
              <c:numCache>
                <c:formatCode>General</c:formatCode>
                <c:ptCount val="12"/>
                <c:pt idx="0">
                  <c:v>174.9</c:v>
                </c:pt>
                <c:pt idx="1">
                  <c:v>175</c:v>
                </c:pt>
                <c:pt idx="2">
                  <c:v>176.3</c:v>
                </c:pt>
                <c:pt idx="3">
                  <c:v>177.8</c:v>
                </c:pt>
                <c:pt idx="4">
                  <c:v>179.6</c:v>
                </c:pt>
                <c:pt idx="5">
                  <c:v>178.3</c:v>
                </c:pt>
                <c:pt idx="6">
                  <c:v>175.9</c:v>
                </c:pt>
                <c:pt idx="7">
                  <c:v>176.7</c:v>
                </c:pt>
                <c:pt idx="8">
                  <c:v>177</c:v>
                </c:pt>
                <c:pt idx="9">
                  <c:v>177</c:v>
                </c:pt>
                <c:pt idx="10">
                  <c:v>177.9</c:v>
                </c:pt>
                <c:pt idx="11">
                  <c:v>179.1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D-4838-81BA-010C934732BC}"/>
            </c:ext>
          </c:extLst>
        </c:ser>
        <c:ser>
          <c:idx val="1"/>
          <c:order val="1"/>
          <c:tx>
            <c:strRef>
              <c:f>Objective3!$D$4</c:f>
              <c:strCache>
                <c:ptCount val="1"/>
                <c:pt idx="0">
                  <c:v>Food and Bev CPI 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Objective3!$B$5:$B$16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Objective3!$D$5:$D$16</c:f>
              <c:numCache>
                <c:formatCode>General</c:formatCode>
                <c:ptCount val="12"/>
                <c:pt idx="0">
                  <c:v>173.3</c:v>
                </c:pt>
                <c:pt idx="1">
                  <c:v>174.9</c:v>
                </c:pt>
                <c:pt idx="2">
                  <c:v>175</c:v>
                </c:pt>
                <c:pt idx="3">
                  <c:v>176.3</c:v>
                </c:pt>
                <c:pt idx="4">
                  <c:v>177.8</c:v>
                </c:pt>
                <c:pt idx="5">
                  <c:v>179.6</c:v>
                </c:pt>
                <c:pt idx="6">
                  <c:v>178.3</c:v>
                </c:pt>
                <c:pt idx="7">
                  <c:v>175.9</c:v>
                </c:pt>
                <c:pt idx="8">
                  <c:v>176.7</c:v>
                </c:pt>
                <c:pt idx="9">
                  <c:v>177</c:v>
                </c:pt>
                <c:pt idx="10">
                  <c:v>177</c:v>
                </c:pt>
                <c:pt idx="11">
                  <c:v>177.9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D-4838-81BA-010C93473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96255"/>
        <c:axId val="1053000415"/>
      </c:barChart>
      <c:lineChart>
        <c:grouping val="standard"/>
        <c:varyColors val="0"/>
        <c:ser>
          <c:idx val="2"/>
          <c:order val="2"/>
          <c:tx>
            <c:strRef>
              <c:f>Objective3!$E$4</c:f>
              <c:strCache>
                <c:ptCount val="1"/>
                <c:pt idx="0">
                  <c:v>MOM Food Inflation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Objective3!$B$5:$B$16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Objective3!$E$5:$E$16</c:f>
              <c:numCache>
                <c:formatCode>0.00%</c:formatCode>
                <c:ptCount val="12"/>
                <c:pt idx="0">
                  <c:v>9.2325447201384546E-3</c:v>
                </c:pt>
                <c:pt idx="1">
                  <c:v>5.7175528873638828E-4</c:v>
                </c:pt>
                <c:pt idx="2">
                  <c:v>7.4285714285714935E-3</c:v>
                </c:pt>
                <c:pt idx="3">
                  <c:v>8.5082246171298923E-3</c:v>
                </c:pt>
                <c:pt idx="4">
                  <c:v>1.0123734533183255E-2</c:v>
                </c:pt>
                <c:pt idx="5">
                  <c:v>-7.2383073496658295E-3</c:v>
                </c:pt>
                <c:pt idx="6">
                  <c:v>-1.3460459899046581E-2</c:v>
                </c:pt>
                <c:pt idx="7">
                  <c:v>4.5480386583284984E-3</c:v>
                </c:pt>
                <c:pt idx="8">
                  <c:v>1.6977928692700134E-3</c:v>
                </c:pt>
                <c:pt idx="9">
                  <c:v>0</c:v>
                </c:pt>
                <c:pt idx="10">
                  <c:v>5.0847457627118961E-3</c:v>
                </c:pt>
                <c:pt idx="11">
                  <c:v>6.7453625632377095E-3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AD-4838-81BA-010C93473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006655"/>
        <c:axId val="1053007903"/>
      </c:lineChart>
      <c:catAx>
        <c:axId val="105299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000415"/>
        <c:crosses val="autoZero"/>
        <c:auto val="1"/>
        <c:lblAlgn val="ctr"/>
        <c:lblOffset val="100"/>
        <c:noMultiLvlLbl val="0"/>
      </c:catAx>
      <c:valAx>
        <c:axId val="105300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96255"/>
        <c:crosses val="autoZero"/>
        <c:crossBetween val="between"/>
      </c:valAx>
      <c:valAx>
        <c:axId val="10530079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006655"/>
        <c:crosses val="max"/>
        <c:crossBetween val="between"/>
      </c:valAx>
      <c:catAx>
        <c:axId val="1053006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300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Objective3!$B$33</c:f>
              <c:strCache>
                <c:ptCount val="1"/>
                <c:pt idx="0">
                  <c:v>absolute % change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F5-4A16-B940-ABA5FE7009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AF5-4A16-B940-ABA5FE7009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F5-4A16-B940-ABA5FE7009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AF5-4A16-B940-ABA5FE7009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F5-4A16-B940-ABA5FE7009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AF5-4A16-B940-ABA5FE7009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AF5-4A16-B940-ABA5FE7009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AF5-4A16-B940-ABA5FE7009C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AF5-4A16-B940-ABA5FE7009C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AF5-4A16-B940-ABA5FE7009C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AF5-4A16-B940-ABA5FE7009C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AF5-4A16-B940-ABA5FE7009C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AF5-4A16-B940-ABA5FE7009C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AF5-4A16-B940-ABA5FE7009C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AF5-4A16-B940-ABA5FE7009C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AF5-4A16-B940-ABA5FE7009C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AF5-4A16-B940-ABA5FE7009C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AF5-4A16-B940-ABA5FE7009C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AF5-4A16-B940-ABA5FE7009C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1AF5-4A16-B940-ABA5FE7009C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1AF5-4A16-B940-ABA5FE7009C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AF5-4A16-B940-ABA5FE7009C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1AF5-4A16-B940-ABA5FE7009C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1AF5-4A16-B940-ABA5FE7009C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Objective3!$A$34:$A$45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</c:strCache>
            </c:strRef>
          </c:cat>
          <c:val>
            <c:numRef>
              <c:f>Objective3!$B$34:$B$45</c:f>
              <c:numCache>
                <c:formatCode>0.00%</c:formatCode>
                <c:ptCount val="12"/>
                <c:pt idx="0">
                  <c:v>0.1206451612903225</c:v>
                </c:pt>
                <c:pt idx="1">
                  <c:v>-2.3245214220601614E-2</c:v>
                </c:pt>
                <c:pt idx="2">
                  <c:v>1.4051522248243426E-2</c:v>
                </c:pt>
                <c:pt idx="3">
                  <c:v>8.2629674306393175E-2</c:v>
                </c:pt>
                <c:pt idx="4">
                  <c:v>-0.15380786460925835</c:v>
                </c:pt>
                <c:pt idx="5">
                  <c:v>1.4731879787860933E-2</c:v>
                </c:pt>
                <c:pt idx="6">
                  <c:v>-0.11684037301151953</c:v>
                </c:pt>
                <c:pt idx="7">
                  <c:v>6.8776628119293873E-2</c:v>
                </c:pt>
                <c:pt idx="8">
                  <c:v>2.3352793994995805E-2</c:v>
                </c:pt>
                <c:pt idx="9">
                  <c:v>0.16515232495991453</c:v>
                </c:pt>
                <c:pt idx="10">
                  <c:v>3.2757593805836809E-2</c:v>
                </c:pt>
                <c:pt idx="11">
                  <c:v>5.6008700380641561E-2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5-4A16-B940-ABA5FE7009C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[India_CPI_Inflation_version2.xlsx]Objective2!PivotTable3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Objective2!$H$6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Objective2!$G$7:$G$13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Objective2!$H$7:$H$13</c:f>
              <c:numCache>
                <c:formatCode>0.00%</c:formatCode>
                <c:ptCount val="7"/>
                <c:pt idx="0">
                  <c:v>3.327388537536536E-2</c:v>
                </c:pt>
                <c:pt idx="1">
                  <c:v>3.9676971910429099E-2</c:v>
                </c:pt>
                <c:pt idx="2">
                  <c:v>3.9729559917622899E-2</c:v>
                </c:pt>
                <c:pt idx="3">
                  <c:v>6.2683916915873564E-2</c:v>
                </c:pt>
                <c:pt idx="4">
                  <c:v>5.6349618572825173E-2</c:v>
                </c:pt>
                <c:pt idx="5">
                  <c:v>6.6240649804989227E-2</c:v>
                </c:pt>
                <c:pt idx="6">
                  <c:v>5.5756721664536081E-2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D-4708-AEEC-F66CE22DC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960031"/>
        <c:axId val="1225943807"/>
      </c:lineChart>
      <c:catAx>
        <c:axId val="122596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943807"/>
        <c:crosses val="autoZero"/>
        <c:auto val="1"/>
        <c:lblAlgn val="ctr"/>
        <c:lblOffset val="100"/>
        <c:noMultiLvlLbl val="0"/>
      </c:catAx>
      <c:valAx>
        <c:axId val="12259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96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Objective1!$A$5:$A$16</c:f>
              <c:strCache>
                <c:ptCount val="12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Household goods and services</c:v>
                </c:pt>
                <c:pt idx="6">
                  <c:v>Health</c:v>
                </c:pt>
                <c:pt idx="7">
                  <c:v>Transport and communication</c:v>
                </c:pt>
                <c:pt idx="8">
                  <c:v>Recreation and amusement</c:v>
                </c:pt>
                <c:pt idx="9">
                  <c:v>Education</c:v>
                </c:pt>
                <c:pt idx="10">
                  <c:v>Personal care and effects</c:v>
                </c:pt>
                <c:pt idx="11">
                  <c:v>Miscellaneous</c:v>
                </c:pt>
              </c:strCache>
            </c:strRef>
          </c:cat>
          <c:val>
            <c:numRef>
              <c:f>Objective1!$B$5:$B$16</c:f>
              <c:numCache>
                <c:formatCode>General</c:formatCode>
                <c:ptCount val="12"/>
                <c:pt idx="0">
                  <c:v>179.1</c:v>
                </c:pt>
                <c:pt idx="1">
                  <c:v>201</c:v>
                </c:pt>
                <c:pt idx="2">
                  <c:v>186.2</c:v>
                </c:pt>
                <c:pt idx="3">
                  <c:v>175.6</c:v>
                </c:pt>
                <c:pt idx="4">
                  <c:v>182.8</c:v>
                </c:pt>
                <c:pt idx="5">
                  <c:v>175.2</c:v>
                </c:pt>
                <c:pt idx="6">
                  <c:v>185.7</c:v>
                </c:pt>
                <c:pt idx="7">
                  <c:v>164.8</c:v>
                </c:pt>
                <c:pt idx="8">
                  <c:v>171.2</c:v>
                </c:pt>
                <c:pt idx="9">
                  <c:v>177.1</c:v>
                </c:pt>
                <c:pt idx="10">
                  <c:v>185.2</c:v>
                </c:pt>
                <c:pt idx="11">
                  <c:v>175.7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7-46AA-8A1F-BF2FAC1313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Objective1!$A$5:$A$16</c:f>
              <c:strCache>
                <c:ptCount val="12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Household goods and services</c:v>
                </c:pt>
                <c:pt idx="6">
                  <c:v>Health</c:v>
                </c:pt>
                <c:pt idx="7">
                  <c:v>Transport and communication</c:v>
                </c:pt>
                <c:pt idx="8">
                  <c:v>Recreation and amusement</c:v>
                </c:pt>
                <c:pt idx="9">
                  <c:v>Education</c:v>
                </c:pt>
                <c:pt idx="10">
                  <c:v>Personal care and effects</c:v>
                </c:pt>
                <c:pt idx="11">
                  <c:v>Miscellaneous</c:v>
                </c:pt>
              </c:strCache>
            </c:strRef>
          </c:cat>
          <c:val>
            <c:numRef>
              <c:f>Objective1!$C$5:$C$16</c:f>
              <c:numCache>
                <c:formatCode>0.00%</c:formatCode>
                <c:ptCount val="12"/>
                <c:pt idx="0">
                  <c:v>8.2932024448972033E-2</c:v>
                </c:pt>
                <c:pt idx="1">
                  <c:v>9.3072791257640314E-2</c:v>
                </c:pt>
                <c:pt idx="2">
                  <c:v>8.6219670309316543E-2</c:v>
                </c:pt>
                <c:pt idx="3">
                  <c:v>8.1311353954436005E-2</c:v>
                </c:pt>
                <c:pt idx="4">
                  <c:v>8.4645304686052983E-2</c:v>
                </c:pt>
                <c:pt idx="5">
                  <c:v>8.1126134469346176E-2</c:v>
                </c:pt>
                <c:pt idx="6">
                  <c:v>8.5988145952954245E-2</c:v>
                </c:pt>
                <c:pt idx="7">
                  <c:v>7.631042785701056E-2</c:v>
                </c:pt>
                <c:pt idx="8">
                  <c:v>7.9273939618447864E-2</c:v>
                </c:pt>
                <c:pt idx="9">
                  <c:v>8.200592702352287E-2</c:v>
                </c:pt>
                <c:pt idx="10">
                  <c:v>8.5756621596591961E-2</c:v>
                </c:pt>
                <c:pt idx="11">
                  <c:v>8.1357658825708459E-2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7-46AA-8A1F-BF2FAC131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5955455"/>
        <c:axId val="1225939231"/>
      </c:barChart>
      <c:catAx>
        <c:axId val="1225955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939231"/>
        <c:crosses val="autoZero"/>
        <c:auto val="1"/>
        <c:lblAlgn val="ctr"/>
        <c:lblOffset val="100"/>
        <c:noMultiLvlLbl val="0"/>
      </c:catAx>
      <c:valAx>
        <c:axId val="122593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95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16</xdr:row>
      <xdr:rowOff>38100</xdr:rowOff>
    </xdr:from>
    <xdr:to>
      <xdr:col>8</xdr:col>
      <xdr:colOff>1447800</xdr:colOff>
      <xdr:row>26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944880</xdr:colOff>
      <xdr:row>8</xdr:row>
      <xdr:rowOff>99060</xdr:rowOff>
    </xdr:from>
    <xdr:to>
      <xdr:col>10</xdr:col>
      <xdr:colOff>640080</xdr:colOff>
      <xdr:row>16</xdr:row>
      <xdr:rowOff>53340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205740</xdr:colOff>
      <xdr:row>32</xdr:row>
      <xdr:rowOff>22860</xdr:rowOff>
    </xdr:from>
    <xdr:to>
      <xdr:col>6</xdr:col>
      <xdr:colOff>899160</xdr:colOff>
      <xdr:row>45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13</xdr:row>
      <xdr:rowOff>220980</xdr:rowOff>
    </xdr:from>
    <xdr:to>
      <xdr:col>8</xdr:col>
      <xdr:colOff>571500</xdr:colOff>
      <xdr:row>21</xdr:row>
      <xdr:rowOff>198120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5</xdr:row>
      <xdr:rowOff>259080</xdr:rowOff>
    </xdr:from>
    <xdr:to>
      <xdr:col>7</xdr:col>
      <xdr:colOff>822960</xdr:colOff>
      <xdr:row>16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an" refreshedDate="46287.009785995368" createdVersion="6" refreshedVersion="6" minRefreshableVersion="3" recordCount="372">
  <cacheSource type="worksheet">
    <worksheetSource name="Data"/>
  </cacheSource>
  <cacheFields count="30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Cereals and products" numFmtId="0">
      <sharedItems containsString="0" containsBlank="1" containsNumber="1" minValue="107.5" maxValue="174.8"/>
    </cacheField>
    <cacheField name="Meat and fish" numFmtId="0">
      <sharedItems containsString="0" containsBlank="1" containsNumber="1" minValue="106.3" maxValue="223.4" count="291">
        <n v="106.3"/>
        <n v="109.1"/>
        <n v="107.3"/>
        <n v="108.7"/>
        <n v="112.9"/>
        <n v="110.2"/>
        <n v="108.8"/>
        <n v="111.4"/>
        <n v="109.7"/>
        <n v="109.5"/>
        <n v="113.4"/>
        <n v="110.9"/>
        <n v="109.8"/>
        <n v="114.2"/>
        <n v="111.3"/>
        <n v="112.1"/>
        <n v="120.1"/>
        <n v="114.9"/>
        <n v="119.2"/>
        <n v="116.4"/>
        <n v="115.4"/>
        <n v="120.4"/>
        <n v="117.2"/>
        <n v="115.7"/>
        <n v="119.1"/>
        <n v="116.9"/>
        <n v="118.1"/>
        <n v="116.3"/>
        <n v="115.9"/>
        <n v="116.7"/>
        <n v="117.1"/>
        <n v="122"/>
        <n v="118.8"/>
        <n v="117.7"/>
        <n v="121.4"/>
        <n v="119.3"/>
        <n v="118.9"/>
        <n v="121.7"/>
        <n v="119.9"/>
        <n v="120.2"/>
        <n v="124.1"/>
        <n v="121.6"/>
        <n v="125.9"/>
        <n v="123.1"/>
        <n v="122.5"/>
        <n v="126.4"/>
        <n v="123.9"/>
        <n v="122.8"/>
        <n v="127.3"/>
        <n v="124.4"/>
        <n v="122.4"/>
        <n v="125.4"/>
        <n v="123.5"/>
        <n v="126.1"/>
        <n v="123.8"/>
        <n v="122.6"/>
        <n v="125.6"/>
        <n v="123.7"/>
        <n v="124.7"/>
        <n v="123.2"/>
        <n v="125.5"/>
        <n v="126.5"/>
        <n v="125.1"/>
        <n v="126.7"/>
        <n v="128.19999999999999"/>
        <n v="127.1"/>
        <n v="129.69999999999999"/>
        <n v="128"/>
        <n v="130.4"/>
        <n v="134.4"/>
        <n v="131.80000000000001"/>
        <n v="131.5"/>
        <n v="134.30000000000001"/>
        <n v="132.5"/>
        <n v="131.30000000000001"/>
        <n v="131.69999999999999"/>
        <n v="131.4"/>
        <n v="131.1"/>
        <n v="129"/>
        <n v="128.6"/>
        <n v="129.80000000000001"/>
        <n v="130.6"/>
        <n v="130.30000000000001"/>
        <n v="133.19999999999999"/>
        <n v="135.9"/>
        <n v="134.1"/>
        <n v="133.69999999999999"/>
        <n v="135.1"/>
        <n v="134.19999999999999"/>
        <n v="136.30000000000001"/>
        <n v="135.4"/>
        <n v="139.30000000000001"/>
        <n v="136.80000000000001"/>
        <n v="137.5"/>
        <n v="142.1"/>
        <n v="139.1"/>
        <n v="138.6"/>
        <n v="143.9"/>
        <n v="140.5"/>
        <n v="139.5"/>
        <n v="144.19999999999999"/>
        <n v="141.19999999999999"/>
        <n v="138.80000000000001"/>
        <n v="140.30000000000001"/>
        <n v="138.19999999999999"/>
        <n v="137.69999999999999"/>
        <n v="138"/>
        <n v="137.6"/>
        <n v="138.4"/>
        <n v="137.9"/>
        <n v="137.4"/>
        <n v="138.5"/>
        <n v="137.80000000000001"/>
        <n v="137.30000000000001"/>
        <n v="138.9"/>
        <n v="138.30000000000001"/>
        <n v="139.80000000000001"/>
        <n v="139.4"/>
        <n v="139"/>
        <n v="138.69999999999999"/>
        <n v="140.6"/>
        <n v="144.1"/>
        <n v="141.6"/>
        <n v="143.69999999999999"/>
        <n v="148.69999999999999"/>
        <n v="145.5"/>
        <n v="148.4"/>
        <n v="145.69999999999999"/>
        <n v="143.1"/>
        <n v="143.4"/>
        <n v="142"/>
        <n v="143"/>
        <n v="142.4"/>
        <n v="141.9"/>
        <n v="142.80000000000001"/>
        <n v="142.19999999999999"/>
        <n v="142.5"/>
        <n v="142.6"/>
        <n v="143.30000000000001"/>
        <n v="144.4"/>
        <n v="143.5"/>
        <n v="143.80000000000001"/>
        <n v="143.6"/>
        <n v="144.5"/>
        <n v="144.30000000000001"/>
        <n v="148.19999999999999"/>
        <n v="146.6"/>
        <n v="148.1"/>
        <n v="149.69999999999999"/>
        <n v="149.30000000000001"/>
        <n v="148.6"/>
        <n v="149.1"/>
        <n v="148.80000000000001"/>
        <n v="146.4"/>
        <n v="148"/>
        <n v="147.19999999999999"/>
        <n v="145.80000000000001"/>
        <n v="147.6"/>
        <n v="144.9"/>
        <n v="149.5"/>
        <n v="150.80000000000001"/>
        <n v="146.30000000000001"/>
        <n v="149.19999999999999"/>
        <n v="151.9"/>
        <n v="147.80000000000001"/>
        <n v="150.5"/>
        <n v="152.5"/>
        <n v="149.4"/>
        <n v="151.4"/>
        <n v="153"/>
        <n v="150.1"/>
        <n v="152"/>
        <n v="154.1"/>
        <n v="151.1"/>
        <n v="159.5"/>
        <n v="156.69999999999999"/>
        <n v="158.5"/>
        <n v="163.5"/>
        <n v="159.6"/>
        <n v="162.1"/>
        <n v="164"/>
        <n v="160.19999999999999"/>
        <n v="162.69999999999999"/>
        <n v="161.9"/>
        <n v="158.30000000000001"/>
        <n v="160.6"/>
        <n v="158.69999999999999"/>
        <n v="160.80000000000001"/>
        <n v="161.6"/>
        <n v="159.80000000000001"/>
        <n v="161"/>
        <n v="163.69999999999999"/>
        <n v="162.4"/>
        <n v="163.19999999999999"/>
        <n v="165.3"/>
        <n v="164.5"/>
        <n v="165"/>
        <n v="167.3"/>
        <n v="167.6"/>
        <n v="167.4"/>
        <n v="167.5"/>
        <n v="166.8"/>
        <n v="167"/>
        <m/>
        <n v="190.3"/>
        <n v="197"/>
        <n v="192.7"/>
        <n v="187.2"/>
        <n v="197.8"/>
        <n v="190.9"/>
        <n v="183.9"/>
        <n v="193.1"/>
        <n v="187.1"/>
        <n v="186.3"/>
        <n v="193.7"/>
        <n v="188.9"/>
        <n v="188.6"/>
        <n v="195.5"/>
        <n v="191"/>
        <n v="188.5"/>
        <n v="195.7"/>
        <n v="187.5"/>
        <n v="194.8"/>
        <n v="190.1"/>
        <n v="184"/>
        <n v="191.2"/>
        <n v="186.5"/>
        <n v="189.4"/>
        <n v="197.5"/>
        <n v="192.2"/>
        <n v="202.5"/>
        <n v="198"/>
        <n v="198.5"/>
        <n v="204.3"/>
        <n v="200.5"/>
        <n v="200.1"/>
        <n v="205.5"/>
        <n v="202"/>
        <n v="204.5"/>
        <n v="210.9"/>
        <n v="206.8"/>
        <n v="202.3"/>
        <n v="207.4"/>
        <n v="204"/>
        <n v="202.1"/>
        <n v="208.4"/>
        <n v="204.6"/>
        <n v="199.8"/>
        <n v="204.9"/>
        <n v="201.6"/>
        <n v="202.2"/>
        <n v="198.8"/>
        <n v="196.9"/>
        <n v="198.7"/>
        <n v="198.1"/>
        <n v="205.2"/>
        <n v="200.6"/>
        <n v="208"/>
        <n v="215.8"/>
        <n v="210.7"/>
        <n v="209.7"/>
        <n v="211.8"/>
        <n v="214.7"/>
        <n v="221.2"/>
        <n v="217"/>
        <n v="217.2"/>
        <n v="223.4"/>
        <n v="219.4"/>
        <n v="210.8"/>
        <n v="217.1"/>
        <n v="213"/>
        <n v="204.1"/>
        <n v="206.5"/>
        <n v="206.7"/>
        <n v="213.7"/>
        <n v="209.2"/>
        <n v="208.8"/>
        <n v="214.9"/>
        <n v="207.2"/>
        <n v="213.4"/>
        <n v="209.4"/>
        <n v="206.9"/>
        <n v="212.9"/>
        <n v="209"/>
        <n v="208.3"/>
        <n v="215.2"/>
        <n v="212.2"/>
        <n v="207.7"/>
        <n v="209.3"/>
        <n v="211.5"/>
        <n v="214.3"/>
      </sharedItems>
    </cacheField>
    <cacheField name="Egg" numFmtId="0">
      <sharedItems containsString="0" containsBlank="1" containsNumber="1" minValue="102.7" maxValue="197"/>
    </cacheField>
    <cacheField name="Milk and products" numFmtId="0">
      <sharedItems containsString="0" containsBlank="1" containsNumber="1" minValue="103.6" maxValue="179.6"/>
    </cacheField>
    <cacheField name="Oils and fats" numFmtId="0">
      <sharedItems containsString="0" containsBlank="1" containsNumber="1" minValue="101.1" maxValue="209.9"/>
    </cacheField>
    <cacheField name="Fruits" numFmtId="0">
      <sharedItems containsString="0" containsBlank="1" containsNumber="1" minValue="102.3" maxValue="179.5"/>
    </cacheField>
    <cacheField name="Vegetables" numFmtId="0">
      <sharedItems containsString="0" containsBlank="1" containsNumber="1" minValue="101.4" maxValue="245.3"/>
    </cacheField>
    <cacheField name="Pulses and products" numFmtId="0">
      <sharedItems containsString="0" containsBlank="1" containsNumber="1" minValue="103.5" maxValue="191.6"/>
    </cacheField>
    <cacheField name="Sugar and Confectionery" numFmtId="0">
      <sharedItems containsString="0" containsBlank="1" containsNumber="1" minValue="85.3" maxValue="124.2"/>
    </cacheField>
    <cacheField name="Spices" numFmtId="0">
      <sharedItems containsString="0" containsBlank="1" containsNumber="1" minValue="101.8" maxValue="221"/>
    </cacheField>
    <cacheField name="Non-alcoholic beverages" numFmtId="0">
      <sharedItems containsString="0" containsBlank="1" containsNumber="1" minValue="104.8" maxValue="178.7"/>
    </cacheField>
    <cacheField name="Prepared meals, snacks, sweets etc." numFmtId="0">
      <sharedItems containsString="0" containsBlank="1" containsNumber="1" minValue="106.7" maxValue="197.7"/>
    </cacheField>
    <cacheField name="Food and beverages" numFmtId="0">
      <sharedItems containsString="0" containsBlank="1" containsNumber="1" minValue="105.5" maxValue="183.3"/>
    </cacheField>
    <cacheField name="Pan, tobacco and intoxicants" numFmtId="0">
      <sharedItems containsString="0" containsBlank="1" containsNumber="1" minValue="105.1" maxValue="204.2"/>
    </cacheField>
    <cacheField name="Clothing" numFmtId="0">
      <sharedItems containsString="0" containsBlank="1" containsNumber="1" minValue="105.9" maxValue="191.2"/>
    </cacheField>
    <cacheField name="Footwear" numFmtId="0">
      <sharedItems containsString="0" containsBlank="1" containsNumber="1" minValue="105" maxValue="187.9"/>
    </cacheField>
    <cacheField name="Clothing and footwear" numFmtId="0">
      <sharedItems containsString="0" containsBlank="1" containsNumber="1" minValue="105.8" maxValue="190.8"/>
    </cacheField>
    <cacheField name="Housing" numFmtId="0">
      <sharedItems/>
    </cacheField>
    <cacheField name="Fuel and light" numFmtId="0">
      <sharedItems containsString="0" containsBlank="1" containsNumber="1" minValue="105.4" maxValue="183.4"/>
    </cacheField>
    <cacheField name="Household goods and services" numFmtId="0">
      <sharedItems containsString="0" containsBlank="1" containsNumber="1" minValue="104.8" maxValue="179.8"/>
    </cacheField>
    <cacheField name="Health" numFmtId="0">
      <sharedItems containsString="0" containsBlank="1" containsNumber="1" minValue="104" maxValue="187.8"/>
    </cacheField>
    <cacheField name="Transport and communication" numFmtId="0">
      <sharedItems containsString="0" containsBlank="1" containsNumber="1" minValue="103.2" maxValue="169.7"/>
    </cacheField>
    <cacheField name="Recreation and amusement" numFmtId="0">
      <sharedItems containsString="0" containsBlank="1" containsNumber="1" minValue="102.9" maxValue="173.8"/>
    </cacheField>
    <cacheField name="Education" numFmtId="0">
      <sharedItems containsString="0" containsBlank="1" containsNumber="1" minValue="103.5" maxValue="180.3"/>
    </cacheField>
    <cacheField name="Personal care and effects" numFmtId="0">
      <sharedItems containsString="0" containsBlank="1" containsNumber="1" minValue="102.1" maxValue="185.6"/>
    </cacheField>
    <cacheField name="Miscellaneous" numFmtId="0">
      <sharedItems containsString="0" containsBlank="1" containsNumber="1" minValue="103.7" maxValue="179.5"/>
    </cacheField>
    <cacheField name="General index" numFmtId="0">
      <sharedItems containsString="0" containsBlank="1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aran" refreshedDate="46288.095951041665" createdVersion="6" refreshedVersion="6" minRefreshableVersion="3" recordCount="76">
  <cacheSource type="worksheet">
    <worksheetSource ref="A5:E81" sheet="Objective2"/>
  </cacheSource>
  <cacheFields count="5"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General index" numFmtId="0">
      <sharedItems containsSemiMixedTypes="0" containsString="0" containsNumber="1" minValue="130.30000000000001" maxValue="179.1"/>
    </cacheField>
    <cacheField name="same month previous year" numFmtId="0">
      <sharedItems containsSemiMixedTypes="0" containsString="0" containsNumber="1" minValue="126" maxValue="171.7"/>
    </cacheField>
    <cacheField name="YOY Inflation %" numFmtId="10">
      <sharedItems containsSemiMixedTypes="0" containsString="0" containsNumber="1" minValue="1.4604150653343625E-2" maxValue="7.794676806083639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2">
  <r>
    <x v="0"/>
    <x v="0"/>
    <s v="January"/>
    <n v="107.5"/>
    <x v="0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</r>
  <r>
    <x v="1"/>
    <x v="0"/>
    <s v="January"/>
    <n v="110.5"/>
    <x v="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s v="100.3"/>
    <n v="105.4"/>
    <n v="104.8"/>
    <n v="104.1"/>
    <n v="103.2"/>
    <n v="102.9"/>
    <n v="103.5"/>
    <n v="104.3"/>
    <n v="103.7"/>
    <n v="104"/>
  </r>
  <r>
    <x v="2"/>
    <x v="0"/>
    <s v="January"/>
    <n v="108.4"/>
    <x v="2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s v="100.3"/>
    <n v="105.5"/>
    <n v="104.8"/>
    <n v="104"/>
    <n v="103.2"/>
    <n v="103.1"/>
    <n v="103.6"/>
    <n v="104.5"/>
    <n v="103.9"/>
    <n v="104.6"/>
  </r>
  <r>
    <x v="0"/>
    <x v="0"/>
    <s v="February"/>
    <n v="109.2"/>
    <x v="3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</r>
  <r>
    <x v="1"/>
    <x v="0"/>
    <s v="February"/>
    <n v="112.9"/>
    <x v="4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s v="100.4"/>
    <n v="105.7"/>
    <n v="105.2"/>
    <n v="104.7"/>
    <n v="104.4"/>
    <n v="103.3"/>
    <n v="103.7"/>
    <n v="104.3"/>
    <n v="104.3"/>
    <n v="104.7"/>
  </r>
  <r>
    <x v="2"/>
    <x v="0"/>
    <s v="February"/>
    <n v="110.4"/>
    <x v="5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s v="100.4"/>
    <n v="106"/>
    <n v="105.2"/>
    <n v="104.5"/>
    <n v="104.2"/>
    <n v="103.6"/>
    <n v="103.9"/>
    <n v="104.5"/>
    <n v="104.4"/>
    <n v="105.3"/>
  </r>
  <r>
    <x v="0"/>
    <x v="0"/>
    <s v="March"/>
    <n v="110.2"/>
    <x v="6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</r>
  <r>
    <x v="1"/>
    <x v="0"/>
    <s v="March"/>
    <n v="113.9"/>
    <x v="7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s v="100.4"/>
    <n v="106"/>
    <n v="105.7"/>
    <n v="105.2"/>
    <n v="105.5"/>
    <n v="103.5"/>
    <n v="103.8"/>
    <n v="104.2"/>
    <n v="104.9"/>
    <n v="105"/>
  </r>
  <r>
    <x v="2"/>
    <x v="0"/>
    <s v="March"/>
    <n v="111.4"/>
    <x v="8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s v="100.4"/>
    <n v="106.1"/>
    <n v="105.6"/>
    <n v="104.9"/>
    <n v="105.1"/>
    <n v="103.7"/>
    <n v="104"/>
    <n v="104.3"/>
    <n v="104.7"/>
    <n v="105.5"/>
  </r>
  <r>
    <x v="0"/>
    <x v="0"/>
    <s v="April"/>
    <n v="110.2"/>
    <x v="9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</r>
  <r>
    <x v="1"/>
    <x v="0"/>
    <s v="April"/>
    <n v="114.6"/>
    <x v="10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s v="100.5"/>
    <n v="106.4"/>
    <n v="106.5"/>
    <n v="105.7"/>
    <n v="105"/>
    <n v="104"/>
    <n v="105.2"/>
    <n v="103.2"/>
    <n v="105.1"/>
    <n v="105.7"/>
  </r>
  <r>
    <x v="2"/>
    <x v="0"/>
    <s v="April"/>
    <n v="111.6"/>
    <x v="11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s v="100.5"/>
    <n v="106.5"/>
    <n v="106.3"/>
    <n v="105.3"/>
    <n v="104.7"/>
    <n v="104.2"/>
    <n v="105"/>
    <n v="102.9"/>
    <n v="104.8"/>
    <n v="106.1"/>
  </r>
  <r>
    <x v="0"/>
    <x v="0"/>
    <s v="May"/>
    <n v="110.9"/>
    <x v="12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</r>
  <r>
    <x v="1"/>
    <x v="0"/>
    <s v="May"/>
    <n v="115.4"/>
    <x v="13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s v="100.5"/>
    <n v="107.2"/>
    <n v="107.1"/>
    <n v="106.2"/>
    <n v="103.9"/>
    <n v="104.6"/>
    <n v="105.7"/>
    <n v="102.6"/>
    <n v="104.9"/>
    <n v="106.6"/>
  </r>
  <r>
    <x v="2"/>
    <x v="0"/>
    <s v="May"/>
    <n v="112.3"/>
    <x v="14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s v="100.5"/>
    <n v="107.4"/>
    <n v="106.9"/>
    <n v="105.9"/>
    <n v="104"/>
    <n v="104.8"/>
    <n v="105.6"/>
    <n v="102.3"/>
    <n v="104.8"/>
    <n v="106.9"/>
  </r>
  <r>
    <x v="0"/>
    <x v="0"/>
    <s v="June"/>
    <n v="112.3"/>
    <x v="15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</r>
  <r>
    <x v="1"/>
    <x v="0"/>
    <s v="June"/>
    <n v="117"/>
    <x v="16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s v="106.6"/>
    <n v="108"/>
    <n v="107.7"/>
    <n v="106.5"/>
    <n v="105.2"/>
    <n v="105.2"/>
    <n v="108.1"/>
    <n v="103.3"/>
    <n v="106.1"/>
    <n v="109.7"/>
  </r>
  <r>
    <x v="2"/>
    <x v="0"/>
    <s v="June"/>
    <n v="113.8"/>
    <x v="17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s v="106.6"/>
    <n v="108.3"/>
    <n v="107.6"/>
    <n v="106.4"/>
    <n v="105.1"/>
    <n v="105.4"/>
    <n v="107.4"/>
    <n v="102.8"/>
    <n v="105.8"/>
    <n v="109.3"/>
  </r>
  <r>
    <x v="0"/>
    <x v="0"/>
    <s v="July"/>
    <n v="113.4"/>
    <x v="17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</r>
  <r>
    <x v="1"/>
    <x v="0"/>
    <s v="July"/>
    <n v="117.8"/>
    <x v="18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s v="107.7"/>
    <n v="108.6"/>
    <n v="108.1"/>
    <n v="107.1"/>
    <n v="107.3"/>
    <n v="105.9"/>
    <n v="110.1"/>
    <n v="103.2"/>
    <n v="107.3"/>
    <n v="111.4"/>
  </r>
  <r>
    <x v="2"/>
    <x v="0"/>
    <s v="July"/>
    <n v="114.8"/>
    <x v="19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s v="107.7"/>
    <n v="109.2"/>
    <n v="108.2"/>
    <n v="107"/>
    <n v="107.1"/>
    <n v="106.1"/>
    <n v="109.1"/>
    <n v="102.8"/>
    <n v="106.9"/>
    <n v="111"/>
  </r>
  <r>
    <x v="0"/>
    <x v="0"/>
    <s v="August"/>
    <n v="114.3"/>
    <x v="20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</r>
  <r>
    <x v="1"/>
    <x v="0"/>
    <s v="August"/>
    <n v="118.3"/>
    <x v="21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s v="108.9"/>
    <n v="109.3"/>
    <n v="108.7"/>
    <n v="107.6"/>
    <n v="108.1"/>
    <n v="106.5"/>
    <n v="110.8"/>
    <n v="106"/>
    <n v="108.3"/>
    <n v="112.7"/>
  </r>
  <r>
    <x v="2"/>
    <x v="0"/>
    <s v="August"/>
    <n v="115.6"/>
    <x v="2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s v="108.9"/>
    <n v="109.7"/>
    <n v="108.7"/>
    <n v="107.5"/>
    <n v="108"/>
    <n v="106.6"/>
    <n v="109.9"/>
    <n v="105.4"/>
    <n v="107.9"/>
    <n v="112.4"/>
  </r>
  <r>
    <x v="0"/>
    <x v="0"/>
    <s v="September"/>
    <n v="115.4"/>
    <x v="23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</r>
  <r>
    <x v="1"/>
    <x v="0"/>
    <s v="September"/>
    <n v="118.6"/>
    <x v="24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s v="109.7"/>
    <n v="109.5"/>
    <n v="109.6"/>
    <n v="107.9"/>
    <n v="110.4"/>
    <n v="107.4"/>
    <n v="111.2"/>
    <n v="106.9"/>
    <n v="109.4"/>
    <n v="113.2"/>
  </r>
  <r>
    <x v="2"/>
    <x v="0"/>
    <s v="September"/>
    <n v="116.4"/>
    <x v="25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s v="109.7"/>
    <n v="110.5"/>
    <n v="109.6"/>
    <n v="108.1"/>
    <n v="109.9"/>
    <n v="107.5"/>
    <n v="110.6"/>
    <n v="106.8"/>
    <n v="109"/>
    <n v="113.7"/>
  </r>
  <r>
    <x v="0"/>
    <x v="0"/>
    <s v="October"/>
    <n v="116.3"/>
    <x v="20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</r>
  <r>
    <x v="1"/>
    <x v="0"/>
    <s v="October"/>
    <n v="118.9"/>
    <x v="26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s v="110.5"/>
    <n v="109.7"/>
    <n v="110.2"/>
    <n v="108.2"/>
    <n v="109.7"/>
    <n v="108"/>
    <n v="111.3"/>
    <n v="107.3"/>
    <n v="109.4"/>
    <n v="114"/>
  </r>
  <r>
    <x v="2"/>
    <x v="0"/>
    <s v="October"/>
    <n v="117.1"/>
    <x v="27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s v="110.5"/>
    <n v="110.9"/>
    <n v="110.3"/>
    <n v="108.6"/>
    <n v="109.5"/>
    <n v="108.1"/>
    <n v="110.8"/>
    <n v="107.4"/>
    <n v="109.2"/>
    <n v="114.8"/>
  </r>
  <r>
    <x v="0"/>
    <x v="0"/>
    <s v="November "/>
    <n v="117.3"/>
    <x v="17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</r>
  <r>
    <x v="1"/>
    <x v="0"/>
    <s v="November"/>
    <n v="119.8"/>
    <x v="27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s v="111.1"/>
    <n v="110"/>
    <n v="110.9"/>
    <n v="108.6"/>
    <n v="109.5"/>
    <n v="108.5"/>
    <n v="111.3"/>
    <n v="107.9"/>
    <n v="109.6"/>
    <n v="115"/>
  </r>
  <r>
    <x v="2"/>
    <x v="0"/>
    <s v="November"/>
    <n v="118.1"/>
    <x v="20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s v="111.1"/>
    <n v="111.6"/>
    <n v="111.1"/>
    <n v="109.3"/>
    <n v="109.5"/>
    <n v="108.6"/>
    <n v="111.2"/>
    <n v="108.1"/>
    <n v="109.7"/>
    <n v="116.3"/>
  </r>
  <r>
    <x v="0"/>
    <x v="0"/>
    <s v="December"/>
    <n v="118.4"/>
    <x v="28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</r>
  <r>
    <x v="1"/>
    <x v="0"/>
    <s v="December"/>
    <n v="120.5"/>
    <x v="26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s v="110.7"/>
    <n v="110.4"/>
    <n v="111.3"/>
    <n v="109"/>
    <n v="109.7"/>
    <n v="108.9"/>
    <n v="111.4"/>
    <n v="107.7"/>
    <n v="109.8"/>
    <n v="113.3"/>
  </r>
  <r>
    <x v="2"/>
    <x v="0"/>
    <s v="December"/>
    <n v="119.1"/>
    <x v="29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s v="110.7"/>
    <n v="111.9"/>
    <n v="111.7"/>
    <n v="109.7"/>
    <n v="109.8"/>
    <n v="109"/>
    <n v="111.5"/>
    <n v="107.9"/>
    <n v="110"/>
    <n v="114.5"/>
  </r>
  <r>
    <x v="0"/>
    <x v="1"/>
    <s v="January"/>
    <n v="118.9"/>
    <x v="30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</r>
  <r>
    <x v="1"/>
    <x v="1"/>
    <s v="January"/>
    <n v="121.2"/>
    <x v="31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s v="111.6"/>
    <n v="111"/>
    <n v="111.9"/>
    <n v="109.7"/>
    <n v="110.8"/>
    <n v="109.8"/>
    <n v="111.5"/>
    <n v="108"/>
    <n v="110.5"/>
    <n v="112.9"/>
  </r>
  <r>
    <x v="2"/>
    <x v="1"/>
    <s v="January"/>
    <n v="119.6"/>
    <x v="32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s v="111.6"/>
    <n v="112.2"/>
    <n v="112.3"/>
    <n v="110.3"/>
    <n v="110.7"/>
    <n v="109.7"/>
    <n v="111.6"/>
    <n v="108.2"/>
    <n v="110.6"/>
    <n v="113.6"/>
  </r>
  <r>
    <x v="0"/>
    <x v="1"/>
    <s v="February"/>
    <n v="119.4"/>
    <x v="33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</r>
  <r>
    <x v="1"/>
    <x v="1"/>
    <s v="February"/>
    <n v="121.9"/>
    <x v="31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s v="112.5"/>
    <n v="111.1"/>
    <n v="112.6"/>
    <n v="110.4"/>
    <n v="111.3"/>
    <n v="110.3"/>
    <n v="111.6"/>
    <n v="108.7"/>
    <n v="111"/>
    <n v="113.1"/>
  </r>
  <r>
    <x v="2"/>
    <x v="1"/>
    <s v="February"/>
    <n v="120.2"/>
    <x v="18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s v="112.5"/>
    <n v="112.4"/>
    <n v="112.8"/>
    <n v="110.7"/>
    <n v="111.1"/>
    <n v="110.1"/>
    <n v="111.8"/>
    <n v="108.7"/>
    <n v="110.9"/>
    <n v="113.6"/>
  </r>
  <r>
    <x v="0"/>
    <x v="1"/>
    <s v="March"/>
    <n v="120.1"/>
    <x v="26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</r>
  <r>
    <x v="1"/>
    <x v="1"/>
    <s v="March"/>
    <n v="122.1"/>
    <x v="3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s v="113.2"/>
    <n v="110.9"/>
    <n v="113"/>
    <n v="110.8"/>
    <n v="111.6"/>
    <n v="110.9"/>
    <n v="111.8"/>
    <n v="109.2"/>
    <n v="111.4"/>
    <n v="113.7"/>
  </r>
  <r>
    <x v="2"/>
    <x v="1"/>
    <s v="Marcrh"/>
    <n v="120.7"/>
    <x v="35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s v="113.2"/>
    <n v="112.5"/>
    <n v="113.2"/>
    <n v="111.2"/>
    <n v="111.4"/>
    <n v="110.6"/>
    <n v="112"/>
    <n v="109"/>
    <n v="111.3"/>
    <n v="114.2"/>
  </r>
  <r>
    <x v="0"/>
    <x v="1"/>
    <s v="April"/>
    <n v="120.2"/>
    <x v="36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</r>
  <r>
    <x v="1"/>
    <x v="1"/>
    <s v="April"/>
    <n v="122.5"/>
    <x v="3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s v="113.9"/>
    <n v="110.9"/>
    <n v="113.4"/>
    <n v="111"/>
    <n v="111.2"/>
    <n v="111.2"/>
    <n v="112.5"/>
    <n v="109.1"/>
    <n v="111.4"/>
    <n v="114.7"/>
  </r>
  <r>
    <x v="2"/>
    <x v="1"/>
    <s v="April"/>
    <n v="120.9"/>
    <x v="38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s v="113.9"/>
    <n v="112.5"/>
    <n v="113.6"/>
    <n v="111.5"/>
    <n v="111.2"/>
    <n v="110.9"/>
    <n v="112.7"/>
    <n v="109"/>
    <n v="111.5"/>
    <n v="115.1"/>
  </r>
  <r>
    <x v="0"/>
    <x v="1"/>
    <s v="May"/>
    <n v="120.3"/>
    <x v="39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</r>
  <r>
    <x v="1"/>
    <x v="1"/>
    <s v="May"/>
    <n v="122.7"/>
    <x v="40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s v="114.3"/>
    <n v="111.1"/>
    <n v="114.1"/>
    <n v="111.2"/>
    <n v="111.3"/>
    <n v="111.5"/>
    <n v="112.9"/>
    <n v="109.3"/>
    <n v="111.7"/>
    <n v="115.6"/>
  </r>
  <r>
    <x v="2"/>
    <x v="1"/>
    <s v="May"/>
    <n v="121.1"/>
    <x v="41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s v="114.3"/>
    <n v="112.5"/>
    <n v="114.1"/>
    <n v="111.8"/>
    <n v="111.3"/>
    <n v="111.2"/>
    <n v="113"/>
    <n v="109.1"/>
    <n v="111.8"/>
    <n v="115.8"/>
  </r>
  <r>
    <x v="0"/>
    <x v="1"/>
    <s v="June"/>
    <n v="120.7"/>
    <x v="41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</r>
  <r>
    <x v="1"/>
    <x v="1"/>
    <s v="June"/>
    <n v="123.1"/>
    <x v="42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s v="113.9"/>
    <n v="111.2"/>
    <n v="114.3"/>
    <n v="111.4"/>
    <n v="111.5"/>
    <n v="111.8"/>
    <n v="115.1"/>
    <n v="108.7"/>
    <n v="112.2"/>
    <n v="116.4"/>
  </r>
  <r>
    <x v="2"/>
    <x v="1"/>
    <s v="June"/>
    <n v="121.5"/>
    <x v="43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s v="113.9"/>
    <n v="113.2"/>
    <n v="114.6"/>
    <n v="112.3"/>
    <n v="111.8"/>
    <n v="111.6"/>
    <n v="114.8"/>
    <n v="108.3"/>
    <n v="112.3"/>
    <n v="116.7"/>
  </r>
  <r>
    <x v="0"/>
    <x v="1"/>
    <s v="July"/>
    <n v="121.7"/>
    <x v="44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</r>
  <r>
    <x v="1"/>
    <x v="1"/>
    <s v="July"/>
    <n v="123.8"/>
    <x v="45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s v="114.8"/>
    <n v="111.6"/>
    <n v="114.9"/>
    <n v="111.5"/>
    <n v="113"/>
    <n v="112.4"/>
    <n v="117.8"/>
    <n v="109.7"/>
    <n v="113.5"/>
    <n v="118.9"/>
  </r>
  <r>
    <x v="2"/>
    <x v="1"/>
    <s v="July"/>
    <n v="122.4"/>
    <x v="46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s v="114.8"/>
    <n v="113.9"/>
    <n v="115.2"/>
    <n v="112.7"/>
    <n v="113.1"/>
    <n v="112.1"/>
    <n v="116.8"/>
    <n v="109.2"/>
    <n v="113.3"/>
    <n v="119.2"/>
  </r>
  <r>
    <x v="0"/>
    <x v="1"/>
    <s v="August"/>
    <n v="121.8"/>
    <x v="47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</r>
  <r>
    <x v="1"/>
    <x v="1"/>
    <s v="August"/>
    <n v="124.8"/>
    <x v="48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s v="115.5"/>
    <n v="111.8"/>
    <n v="115.3"/>
    <n v="112.2"/>
    <n v="112.5"/>
    <n v="112.9"/>
    <n v="119.2"/>
    <n v="110.5"/>
    <n v="113.9"/>
    <n v="119.9"/>
  </r>
  <r>
    <x v="2"/>
    <x v="1"/>
    <s v="August"/>
    <n v="122.7"/>
    <x v="49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s v="115.5"/>
    <n v="114"/>
    <n v="115.6"/>
    <n v="113.3"/>
    <n v="112.8"/>
    <n v="112.6"/>
    <n v="118"/>
    <n v="109.9"/>
    <n v="113.7"/>
    <n v="120.3"/>
  </r>
  <r>
    <x v="0"/>
    <x v="1"/>
    <s v="September"/>
    <n v="122.3"/>
    <x v="50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</r>
  <r>
    <x v="1"/>
    <x v="1"/>
    <s v="September"/>
    <n v="124.2"/>
    <x v="51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s v="116.1"/>
    <n v="111.8"/>
    <n v="115.5"/>
    <n v="112.3"/>
    <n v="111.2"/>
    <n v="113.4"/>
    <n v="120"/>
    <n v="110"/>
    <n v="113.6"/>
    <n v="119.2"/>
  </r>
  <r>
    <x v="2"/>
    <x v="1"/>
    <s v="September"/>
    <n v="122.9"/>
    <x v="52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s v="116.1"/>
    <n v="114.3"/>
    <n v="116.1"/>
    <n v="113.7"/>
    <n v="112"/>
    <n v="113.1"/>
    <n v="118.6"/>
    <n v="109.5"/>
    <n v="113.7"/>
    <n v="120.1"/>
  </r>
  <r>
    <x v="0"/>
    <x v="1"/>
    <s v="October"/>
    <n v="122.6"/>
    <x v="44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</r>
  <r>
    <x v="1"/>
    <x v="1"/>
    <s v="October"/>
    <n v="124.6"/>
    <x v="53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s v="116.7"/>
    <n v="112"/>
    <n v="115.8"/>
    <n v="112.6"/>
    <n v="111"/>
    <n v="113.6"/>
    <n v="120.2"/>
    <n v="110.1"/>
    <n v="113.7"/>
    <n v="119.1"/>
  </r>
  <r>
    <x v="2"/>
    <x v="1"/>
    <s v="October"/>
    <n v="123.2"/>
    <x v="54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s v="116.7"/>
    <n v="114.7"/>
    <n v="116.7"/>
    <n v="114.3"/>
    <n v="111.8"/>
    <n v="113.3"/>
    <n v="118.8"/>
    <n v="109.6"/>
    <n v="113.9"/>
    <n v="120.1"/>
  </r>
  <r>
    <x v="0"/>
    <x v="1"/>
    <s v="November"/>
    <n v="122.7"/>
    <x v="55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</r>
  <r>
    <x v="1"/>
    <x v="1"/>
    <s v="November"/>
    <n v="124.5"/>
    <x v="5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s v="117.1"/>
    <n v="112.6"/>
    <n v="116.4"/>
    <n v="113"/>
    <n v="109.7"/>
    <n v="114"/>
    <n v="120.3"/>
    <n v="109.6"/>
    <n v="113.4"/>
    <n v="119"/>
  </r>
  <r>
    <x v="2"/>
    <x v="1"/>
    <s v="November"/>
    <n v="123.3"/>
    <x v="5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s v="117.1"/>
    <n v="115.5"/>
    <n v="117.3"/>
    <n v="114.8"/>
    <n v="110.8"/>
    <n v="113.7"/>
    <n v="119"/>
    <n v="109.1"/>
    <n v="113.8"/>
    <n v="120.1"/>
  </r>
  <r>
    <x v="0"/>
    <x v="1"/>
    <s v="December"/>
    <n v="122.4"/>
    <x v="50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</r>
  <r>
    <x v="1"/>
    <x v="1"/>
    <s v="December"/>
    <n v="124"/>
    <x v="58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s v="116.5"/>
    <n v="113"/>
    <n v="116.8"/>
    <n v="113.2"/>
    <n v="108.8"/>
    <n v="114.3"/>
    <n v="120.7"/>
    <n v="110.4"/>
    <n v="113.4"/>
    <n v="118.4"/>
  </r>
  <r>
    <x v="2"/>
    <x v="1"/>
    <s v="December"/>
    <n v="122.9"/>
    <x v="59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s v="116.5"/>
    <n v="115.7"/>
    <n v="117.5"/>
    <n v="115.1"/>
    <n v="110.1"/>
    <n v="113.9"/>
    <n v="119.5"/>
    <n v="109.8"/>
    <n v="113.8"/>
    <n v="119.4"/>
  </r>
  <r>
    <x v="0"/>
    <x v="2"/>
    <s v="January"/>
    <n v="123.1"/>
    <x v="43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</r>
  <r>
    <x v="1"/>
    <x v="2"/>
    <s v="January"/>
    <n v="124"/>
    <x v="60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s v="117.3"/>
    <n v="113.4"/>
    <n v="117.2"/>
    <n v="113.7"/>
    <n v="107.9"/>
    <n v="114.6"/>
    <n v="120.8"/>
    <n v="111.4"/>
    <n v="113.4"/>
    <n v="118.5"/>
  </r>
  <r>
    <x v="2"/>
    <x v="2"/>
    <s v="January"/>
    <n v="123.4"/>
    <x v="46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s v="117.3"/>
    <n v="116.5"/>
    <n v="118.1"/>
    <n v="115.5"/>
    <n v="109.4"/>
    <n v="114.3"/>
    <n v="119.7"/>
    <n v="110.7"/>
    <n v="114"/>
    <n v="119.5"/>
  </r>
  <r>
    <x v="0"/>
    <x v="2"/>
    <s v="February"/>
    <n v="123.4"/>
    <x v="49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</r>
  <r>
    <x v="1"/>
    <x v="2"/>
    <s v="February"/>
    <n v="124.3"/>
    <x v="61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s v="118.1"/>
    <n v="114"/>
    <n v="117.7"/>
    <n v="114.1"/>
    <n v="106.8"/>
    <n v="114.9"/>
    <n v="120.4"/>
    <n v="111.7"/>
    <n v="113.2"/>
    <n v="118.7"/>
  </r>
  <r>
    <x v="2"/>
    <x v="2"/>
    <s v="February"/>
    <n v="123.7"/>
    <x v="62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s v="118.1"/>
    <n v="117.7"/>
    <n v="118.7"/>
    <n v="116.3"/>
    <n v="108.7"/>
    <n v="114.9"/>
    <n v="119.7"/>
    <n v="111.2"/>
    <n v="114.1"/>
    <n v="119.7"/>
  </r>
  <r>
    <x v="0"/>
    <x v="2"/>
    <s v="March"/>
    <n v="123.3"/>
    <x v="58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</r>
  <r>
    <x v="1"/>
    <x v="2"/>
    <s v="March"/>
    <n v="124"/>
    <x v="63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s v="118.6"/>
    <n v="114.4"/>
    <n v="118"/>
    <n v="114.3"/>
    <n v="108.4"/>
    <n v="115.4"/>
    <n v="120.6"/>
    <n v="111.3"/>
    <n v="113.8"/>
    <n v="119.1"/>
  </r>
  <r>
    <x v="2"/>
    <x v="2"/>
    <s v="March"/>
    <n v="123.5"/>
    <x v="51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s v="118.6"/>
    <n v="118.3"/>
    <n v="119.2"/>
    <n v="116.7"/>
    <n v="109.9"/>
    <n v="115.4"/>
    <n v="120.1"/>
    <n v="111"/>
    <n v="114.7"/>
    <n v="120.2"/>
  </r>
  <r>
    <x v="0"/>
    <x v="2"/>
    <s v="April"/>
    <n v="123.3"/>
    <x v="60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</r>
  <r>
    <x v="1"/>
    <x v="2"/>
    <s v="April"/>
    <n v="123.8"/>
    <x v="64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s v="119.2"/>
    <n v="114.7"/>
    <n v="118.4"/>
    <n v="114.6"/>
    <n v="108.4"/>
    <n v="115.6"/>
    <n v="121.7"/>
    <n v="111.8"/>
    <n v="114.2"/>
    <n v="119.7"/>
  </r>
  <r>
    <x v="2"/>
    <x v="2"/>
    <s v="April"/>
    <n v="123.5"/>
    <x v="45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s v="119.2"/>
    <n v="118.7"/>
    <n v="119.7"/>
    <n v="117.1"/>
    <n v="110.1"/>
    <n v="115.9"/>
    <n v="121"/>
    <n v="111.7"/>
    <n v="115.1"/>
    <n v="120.7"/>
  </r>
  <r>
    <x v="0"/>
    <x v="2"/>
    <s v="May"/>
    <n v="123.5"/>
    <x v="65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</r>
  <r>
    <x v="1"/>
    <x v="2"/>
    <s v="May"/>
    <n v="123.8"/>
    <x v="66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s v="119.6"/>
    <n v="114.9"/>
    <n v="118.7"/>
    <n v="114.9"/>
    <n v="110.8"/>
    <n v="116"/>
    <n v="122"/>
    <n v="112.4"/>
    <n v="115.2"/>
    <n v="120.7"/>
  </r>
  <r>
    <x v="2"/>
    <x v="2"/>
    <s v="May"/>
    <n v="123.6"/>
    <x v="67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s v="119.6"/>
    <n v="119.2"/>
    <n v="120.2"/>
    <n v="117.7"/>
    <n v="112"/>
    <n v="116.3"/>
    <n v="121.4"/>
    <n v="112.3"/>
    <n v="116.1"/>
    <n v="121.6"/>
  </r>
  <r>
    <x v="0"/>
    <x v="2"/>
    <s v="June"/>
    <n v="124.1"/>
    <x v="68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</r>
  <r>
    <x v="1"/>
    <x v="2"/>
    <s v="June"/>
    <n v="123.6"/>
    <x v="69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s v="119"/>
    <n v="115.1"/>
    <n v="119.2"/>
    <n v="115.4"/>
    <n v="111.7"/>
    <n v="116.2"/>
    <n v="123.8"/>
    <n v="112.5"/>
    <n v="116"/>
    <n v="121.7"/>
  </r>
  <r>
    <x v="2"/>
    <x v="2"/>
    <s v="June"/>
    <n v="123.9"/>
    <x v="70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s v="119"/>
    <n v="119.8"/>
    <n v="121.1"/>
    <n v="118.5"/>
    <n v="112.9"/>
    <n v="116.9"/>
    <n v="123.1"/>
    <n v="112.8"/>
    <n v="117"/>
    <n v="123"/>
  </r>
  <r>
    <x v="0"/>
    <x v="2"/>
    <s v="July"/>
    <n v="124"/>
    <x v="71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</r>
  <r>
    <x v="1"/>
    <x v="2"/>
    <s v="July"/>
    <n v="123.2"/>
    <x v="72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s v="119.9"/>
    <n v="115.3"/>
    <n v="119.5"/>
    <n v="116"/>
    <n v="111.5"/>
    <n v="116.6"/>
    <n v="125.4"/>
    <n v="111.7"/>
    <n v="116.3"/>
    <n v="122.4"/>
  </r>
  <r>
    <x v="2"/>
    <x v="2"/>
    <s v="July"/>
    <n v="123.7"/>
    <x v="73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s v="119.9"/>
    <n v="120.1"/>
    <n v="121.3"/>
    <n v="119"/>
    <n v="112.7"/>
    <n v="117.2"/>
    <n v="124.4"/>
    <n v="112.3"/>
    <n v="117.2"/>
    <n v="123.6"/>
  </r>
  <r>
    <x v="0"/>
    <x v="2"/>
    <s v="August"/>
    <n v="124.7"/>
    <x v="74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</r>
  <r>
    <x v="1"/>
    <x v="2"/>
    <s v="August"/>
    <n v="123.1"/>
    <x v="75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s v="120.9"/>
    <n v="115.3"/>
    <n v="120"/>
    <n v="116.6"/>
    <n v="109.9"/>
    <n v="117.2"/>
    <n v="126.2"/>
    <n v="112"/>
    <n v="116.2"/>
    <n v="123.2"/>
  </r>
  <r>
    <x v="2"/>
    <x v="2"/>
    <s v="August"/>
    <n v="124.2"/>
    <x v="76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s v="120.9"/>
    <n v="120.6"/>
    <n v="122"/>
    <n v="119.4"/>
    <n v="111.7"/>
    <n v="117.8"/>
    <n v="125.1"/>
    <n v="112.3"/>
    <n v="117.2"/>
    <n v="124.8"/>
  </r>
  <r>
    <x v="0"/>
    <x v="2"/>
    <s v="September"/>
    <n v="125.1"/>
    <x v="77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</r>
  <r>
    <x v="1"/>
    <x v="2"/>
    <s v="September"/>
    <n v="123.4"/>
    <x v="78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s v="121.6"/>
    <n v="115.1"/>
    <n v="120.4"/>
    <n v="117.1"/>
    <n v="109.1"/>
    <n v="117.3"/>
    <n v="126.5"/>
    <n v="112.9"/>
    <n v="116.2"/>
    <n v="123.5"/>
  </r>
  <r>
    <x v="2"/>
    <x v="2"/>
    <s v="September"/>
    <n v="124.6"/>
    <x v="68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s v="121.6"/>
    <n v="120.4"/>
    <n v="122.6"/>
    <n v="119.8"/>
    <n v="111.3"/>
    <n v="118.3"/>
    <n v="125.7"/>
    <n v="113.4"/>
    <n v="117.5"/>
    <n v="125.4"/>
  </r>
  <r>
    <x v="0"/>
    <x v="2"/>
    <s v="October"/>
    <n v="125.6"/>
    <x v="68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</r>
  <r>
    <x v="1"/>
    <x v="2"/>
    <s v="October"/>
    <n v="123.6"/>
    <x v="79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s v="122.4"/>
    <n v="114.9"/>
    <n v="120.7"/>
    <n v="117.7"/>
    <n v="109.3"/>
    <n v="117.7"/>
    <n v="126.5"/>
    <n v="113.5"/>
    <n v="116.5"/>
    <n v="124.2"/>
  </r>
  <r>
    <x v="2"/>
    <x v="2"/>
    <s v="October"/>
    <n v="125"/>
    <x v="80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s v="122.4"/>
    <n v="120.8"/>
    <n v="123"/>
    <n v="120.4"/>
    <n v="111.4"/>
    <n v="118.7"/>
    <n v="125.9"/>
    <n v="113.9"/>
    <n v="117.9"/>
    <n v="126.1"/>
  </r>
  <r>
    <x v="0"/>
    <x v="2"/>
    <s v="November"/>
    <n v="126.1"/>
    <x v="81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</r>
  <r>
    <x v="1"/>
    <x v="2"/>
    <s v="November"/>
    <n v="124"/>
    <x v="80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s v="122.9"/>
    <n v="115.1"/>
    <n v="121"/>
    <n v="118.1"/>
    <n v="109.3"/>
    <n v="117.9"/>
    <n v="126.6"/>
    <n v="113.3"/>
    <n v="116.6"/>
    <n v="124.6"/>
  </r>
  <r>
    <x v="2"/>
    <x v="2"/>
    <s v="November"/>
    <n v="125.4"/>
    <x v="82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s v="122.9"/>
    <n v="121.6"/>
    <n v="123.4"/>
    <n v="120.9"/>
    <n v="111.5"/>
    <n v="119.2"/>
    <n v="126.3"/>
    <n v="113.8"/>
    <n v="118.1"/>
    <n v="126.6"/>
  </r>
  <r>
    <x v="0"/>
    <x v="2"/>
    <s v="December"/>
    <n v="126.3"/>
    <x v="74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</r>
  <r>
    <x v="1"/>
    <x v="2"/>
    <s v="December"/>
    <n v="124.3"/>
    <x v="75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s v="122.4"/>
    <n v="116"/>
    <n v="121"/>
    <n v="118.6"/>
    <n v="109.3"/>
    <n v="118.1"/>
    <n v="126.6"/>
    <n v="113.2"/>
    <n v="116.7"/>
    <n v="124"/>
  </r>
  <r>
    <x v="2"/>
    <x v="2"/>
    <s v="December"/>
    <n v="125.7"/>
    <x v="76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s v="122.4"/>
    <n v="122"/>
    <n v="123.6"/>
    <n v="121.4"/>
    <n v="111.5"/>
    <n v="119.6"/>
    <n v="126.2"/>
    <n v="113.7"/>
    <n v="118.3"/>
    <n v="126.1"/>
  </r>
  <r>
    <x v="0"/>
    <x v="3"/>
    <s v="January"/>
    <n v="126.8"/>
    <x v="83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</r>
  <r>
    <x v="1"/>
    <x v="3"/>
    <s v="January"/>
    <n v="124.7"/>
    <x v="84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s v="123.4"/>
    <n v="116.9"/>
    <n v="121.6"/>
    <n v="119.1"/>
    <n v="108.9"/>
    <n v="118.5"/>
    <n v="126.4"/>
    <n v="114"/>
    <n v="116.8"/>
    <n v="124.2"/>
  </r>
  <r>
    <x v="2"/>
    <x v="3"/>
    <s v="January"/>
    <n v="126.1"/>
    <x v="85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s v="123.4"/>
    <n v="122.7"/>
    <n v="124.2"/>
    <n v="122"/>
    <n v="111.1"/>
    <n v="119.8"/>
    <n v="126.3"/>
    <n v="114.5"/>
    <n v="118.5"/>
    <n v="126.3"/>
  </r>
  <r>
    <x v="0"/>
    <x v="3"/>
    <s v="February"/>
    <n v="127.1"/>
    <x v="86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</r>
  <r>
    <x v="1"/>
    <x v="3"/>
    <s v="February"/>
    <n v="124.8"/>
    <x v="87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s v="124.4"/>
    <n v="116"/>
    <n v="121.8"/>
    <n v="119.5"/>
    <n v="109.1"/>
    <n v="118.8"/>
    <n v="126.3"/>
    <n v="116.2"/>
    <n v="117.2"/>
    <n v="123.8"/>
  </r>
  <r>
    <x v="2"/>
    <x v="3"/>
    <s v="February"/>
    <n v="126.4"/>
    <x v="88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s v="124.4"/>
    <n v="123.1"/>
    <n v="124.6"/>
    <n v="122.5"/>
    <n v="111.4"/>
    <n v="120.3"/>
    <n v="126.6"/>
    <n v="116.6"/>
    <n v="119.1"/>
    <n v="126"/>
  </r>
  <r>
    <x v="0"/>
    <x v="3"/>
    <s v="March"/>
    <n v="127.3"/>
    <x v="69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</r>
  <r>
    <x v="1"/>
    <x v="3"/>
    <s v="March"/>
    <n v="124.8"/>
    <x v="89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s v="124.9"/>
    <n v="114.8"/>
    <n v="122.3"/>
    <n v="119.7"/>
    <n v="108.5"/>
    <n v="119.1"/>
    <n v="126.4"/>
    <n v="117.1"/>
    <n v="117.3"/>
    <n v="123.8"/>
  </r>
  <r>
    <x v="2"/>
    <x v="3"/>
    <s v="March"/>
    <n v="126.5"/>
    <x v="87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s v="124.9"/>
    <n v="122.4"/>
    <n v="125.1"/>
    <n v="122.9"/>
    <n v="110.9"/>
    <n v="120.6"/>
    <n v="126.9"/>
    <n v="117.3"/>
    <n v="119.3"/>
    <n v="126"/>
  </r>
  <r>
    <x v="0"/>
    <x v="3"/>
    <s v="April"/>
    <n v="127.4"/>
    <x v="90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</r>
  <r>
    <x v="1"/>
    <x v="3"/>
    <s v="April"/>
    <n v="124.9"/>
    <x v="9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s v="125.6"/>
    <n v="114.6"/>
    <n v="122.8"/>
    <n v="120"/>
    <n v="110"/>
    <n v="119.5"/>
    <n v="127.6"/>
    <n v="117.6"/>
    <n v="118.2"/>
    <n v="125.3"/>
  </r>
  <r>
    <x v="2"/>
    <x v="3"/>
    <s v="April"/>
    <n v="126.6"/>
    <x v="92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s v="125.6"/>
    <n v="122.3"/>
    <n v="125.5"/>
    <n v="123.2"/>
    <n v="112.1"/>
    <n v="121.1"/>
    <n v="127.7"/>
    <n v="118.1"/>
    <n v="120"/>
    <n v="127.3"/>
  </r>
  <r>
    <x v="0"/>
    <x v="3"/>
    <s v="May"/>
    <n v="127.6"/>
    <x v="93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</r>
  <r>
    <x v="1"/>
    <x v="3"/>
    <s v="May"/>
    <n v="125"/>
    <x v="94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s v="126"/>
    <n v="115"/>
    <n v="123.2"/>
    <n v="120.3"/>
    <n v="110.7"/>
    <n v="119.8"/>
    <n v="128"/>
    <n v="118.5"/>
    <n v="118.7"/>
    <n v="126.6"/>
  </r>
  <r>
    <x v="2"/>
    <x v="3"/>
    <s v="May"/>
    <n v="126.8"/>
    <x v="95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s v="126"/>
    <n v="122.7"/>
    <n v="126"/>
    <n v="123.7"/>
    <n v="112.8"/>
    <n v="121.5"/>
    <n v="128.5"/>
    <n v="119.2"/>
    <n v="120.7"/>
    <n v="128.6"/>
  </r>
  <r>
    <x v="0"/>
    <x v="3"/>
    <s v="June"/>
    <n v="128.6"/>
    <x v="9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</r>
  <r>
    <x v="1"/>
    <x v="3"/>
    <s v="June"/>
    <n v="125.9"/>
    <x v="97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s v="125.5"/>
    <n v="115.5"/>
    <n v="123.2"/>
    <n v="120.6"/>
    <n v="112.3"/>
    <n v="119.9"/>
    <n v="129.30000000000001"/>
    <n v="118.8"/>
    <n v="119.6"/>
    <n v="128.1"/>
  </r>
  <r>
    <x v="2"/>
    <x v="3"/>
    <s v="June"/>
    <n v="127.7"/>
    <x v="98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s v="125.5"/>
    <n v="123.3"/>
    <n v="126.4"/>
    <n v="124.1"/>
    <n v="114.2"/>
    <n v="121.7"/>
    <n v="129.69999999999999"/>
    <n v="119.4"/>
    <n v="121.5"/>
    <n v="130.1"/>
  </r>
  <r>
    <x v="0"/>
    <x v="3"/>
    <s v="July"/>
    <n v="129.30000000000001"/>
    <x v="99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</r>
  <r>
    <x v="1"/>
    <x v="3"/>
    <s v="July"/>
    <n v="126.8"/>
    <x v="100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s v="126.4"/>
    <n v="115.5"/>
    <n v="123.5"/>
    <n v="120.9"/>
    <n v="111.7"/>
    <n v="120.3"/>
    <n v="130.80000000000001"/>
    <n v="120"/>
    <n v="119.9"/>
    <n v="129"/>
  </r>
  <r>
    <x v="2"/>
    <x v="3"/>
    <s v="July"/>
    <n v="128.5"/>
    <x v="101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s v="126.4"/>
    <n v="123.4"/>
    <n v="126.9"/>
    <n v="124.5"/>
    <n v="113.9"/>
    <n v="122.4"/>
    <n v="130.80000000000001"/>
    <n v="120.5"/>
    <n v="121.9"/>
    <n v="131.1"/>
  </r>
  <r>
    <x v="0"/>
    <x v="3"/>
    <s v="August"/>
    <n v="130.1"/>
    <x v="102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</r>
  <r>
    <x v="1"/>
    <x v="3"/>
    <s v="August"/>
    <n v="127.6"/>
    <x v="103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s v="127.3"/>
    <n v="114.7"/>
    <n v="123.9"/>
    <n v="121.2"/>
    <n v="110.4"/>
    <n v="120.6"/>
    <n v="131.5"/>
    <n v="120.9"/>
    <n v="119.9"/>
    <n v="128.4"/>
  </r>
  <r>
    <x v="2"/>
    <x v="3"/>
    <s v="August"/>
    <n v="129.30000000000001"/>
    <x v="9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s v="127.3"/>
    <n v="123.6"/>
    <n v="127.4"/>
    <n v="124.8"/>
    <n v="113.1"/>
    <n v="122.7"/>
    <n v="131.69999999999999"/>
    <n v="121.5"/>
    <n v="122.1"/>
    <n v="131.1"/>
  </r>
  <r>
    <x v="0"/>
    <x v="3"/>
    <s v="September"/>
    <n v="130.80000000000001"/>
    <x v="104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</r>
  <r>
    <x v="1"/>
    <x v="3"/>
    <s v="September"/>
    <n v="128.1"/>
    <x v="105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s v="127.9"/>
    <n v="114.8"/>
    <n v="124.3"/>
    <n v="121.4"/>
    <n v="111.8"/>
    <n v="120.8"/>
    <n v="131.6"/>
    <n v="121.2"/>
    <n v="120.5"/>
    <n v="128"/>
  </r>
  <r>
    <x v="2"/>
    <x v="3"/>
    <s v="September"/>
    <n v="129.9"/>
    <x v="106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s v="127.9"/>
    <n v="124.1"/>
    <n v="127.9"/>
    <n v="125.4"/>
    <n v="114.3"/>
    <n v="122.9"/>
    <n v="131.80000000000001"/>
    <n v="122.1"/>
    <n v="122.8"/>
    <n v="130.9"/>
  </r>
  <r>
    <x v="0"/>
    <x v="3"/>
    <s v="October"/>
    <n v="131.30000000000001"/>
    <x v="107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</r>
  <r>
    <x v="1"/>
    <x v="3"/>
    <s v="October"/>
    <n v="128.69999999999999"/>
    <x v="108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s v="128.7"/>
    <n v="115.2"/>
    <n v="124.5"/>
    <n v="121.8"/>
    <n v="112.8"/>
    <n v="121.2"/>
    <n v="131.9"/>
    <n v="120.8"/>
    <n v="120.9"/>
    <n v="128.6"/>
  </r>
  <r>
    <x v="2"/>
    <x v="3"/>
    <s v="October"/>
    <n v="130.5"/>
    <x v="10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s v="128.7"/>
    <n v="124.3"/>
    <n v="128.4"/>
    <n v="126.1"/>
    <n v="115.2"/>
    <n v="123.5"/>
    <n v="132.4"/>
    <n v="122.1"/>
    <n v="123.4"/>
    <n v="131.4"/>
  </r>
  <r>
    <x v="0"/>
    <x v="3"/>
    <s v="November"/>
    <n v="132"/>
    <x v="110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</r>
  <r>
    <x v="1"/>
    <x v="3"/>
    <s v="November"/>
    <n v="130.19999999999999"/>
    <x v="111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s v="129.1"/>
    <n v="116.2"/>
    <n v="124.7"/>
    <n v="122.1"/>
    <n v="113.4"/>
    <n v="121.7"/>
    <n v="132.1"/>
    <n v="121.3"/>
    <n v="121.3"/>
    <n v="128.5"/>
  </r>
  <r>
    <x v="2"/>
    <x v="3"/>
    <s v="November"/>
    <n v="131.4"/>
    <x v="112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s v="129.1"/>
    <n v="125"/>
    <n v="128.6"/>
    <n v="126.4"/>
    <n v="115.7"/>
    <n v="124"/>
    <n v="132.80000000000001"/>
    <n v="122.6"/>
    <n v="123.8"/>
    <n v="131.19999999999999"/>
  </r>
  <r>
    <x v="0"/>
    <x v="3"/>
    <s v="December"/>
    <n v="132.6"/>
    <x v="113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</r>
  <r>
    <x v="1"/>
    <x v="3"/>
    <s v="December"/>
    <n v="131.6"/>
    <x v="104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s v="128.5"/>
    <n v="117.8"/>
    <n v="125"/>
    <n v="122.3"/>
    <n v="113.7"/>
    <n v="121.8"/>
    <n v="132.30000000000001"/>
    <n v="119.9"/>
    <n v="121.4"/>
    <n v="127.6"/>
  </r>
  <r>
    <x v="2"/>
    <x v="3"/>
    <s v="December"/>
    <n v="132.30000000000001"/>
    <x v="107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s v="128.5"/>
    <n v="126.6"/>
    <n v="129.19999999999999"/>
    <n v="126.9"/>
    <n v="116"/>
    <n v="124.2"/>
    <n v="133.1"/>
    <n v="121.1"/>
    <n v="123.9"/>
    <n v="130.4"/>
  </r>
  <r>
    <x v="0"/>
    <x v="4"/>
    <s v="January"/>
    <n v="133.1"/>
    <x v="112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</r>
  <r>
    <x v="1"/>
    <x v="4"/>
    <s v="January"/>
    <n v="132.19999999999999"/>
    <x v="114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s v="129.6"/>
    <n v="118"/>
    <n v="125.1"/>
    <n v="122.6"/>
    <n v="115.2"/>
    <n v="122"/>
    <n v="132.4"/>
    <n v="120.9"/>
    <n v="122.1"/>
    <n v="127.8"/>
  </r>
  <r>
    <x v="2"/>
    <x v="4"/>
    <s v="January"/>
    <n v="132.80000000000001"/>
    <x v="104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s v="129.6"/>
    <n v="126.8"/>
    <n v="129.4"/>
    <n v="127.1"/>
    <n v="117"/>
    <n v="124.2"/>
    <n v="133.30000000000001"/>
    <n v="121.7"/>
    <n v="124.4"/>
    <n v="130.30000000000001"/>
  </r>
  <r>
    <x v="0"/>
    <x v="4"/>
    <s v="February"/>
    <n v="133.30000000000001"/>
    <x v="115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</r>
  <r>
    <x v="1"/>
    <x v="4"/>
    <s v="February"/>
    <n v="132.80000000000001"/>
    <x v="116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s v="130.5"/>
    <n v="119.2"/>
    <n v="125.3"/>
    <n v="122.9"/>
    <n v="115.5"/>
    <n v="122.2"/>
    <n v="132.4"/>
    <n v="121.7"/>
    <n v="122.4"/>
    <n v="128.19999999999999"/>
  </r>
  <r>
    <x v="2"/>
    <x v="4"/>
    <s v="February"/>
    <n v="133.1"/>
    <x v="102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s v="130.5"/>
    <n v="127.9"/>
    <n v="129.69999999999999"/>
    <n v="127.4"/>
    <n v="117.4"/>
    <n v="124.6"/>
    <n v="133.4"/>
    <n v="122.6"/>
    <n v="124.8"/>
    <n v="130.6"/>
  </r>
  <r>
    <x v="0"/>
    <x v="4"/>
    <s v="March"/>
    <n v="133.6"/>
    <x v="102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</r>
  <r>
    <x v="1"/>
    <x v="4"/>
    <s v="March"/>
    <n v="132.69999999999999"/>
    <x v="117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s v="131.1"/>
    <n v="120.8"/>
    <n v="125.6"/>
    <n v="123.1"/>
    <n v="115.6"/>
    <n v="122.4"/>
    <n v="132.80000000000001"/>
    <n v="121.7"/>
    <n v="122.6"/>
    <n v="128.69999999999999"/>
  </r>
  <r>
    <x v="2"/>
    <x v="4"/>
    <s v="March"/>
    <n v="133.30000000000001"/>
    <x v="118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s v="131.1"/>
    <n v="129.1"/>
    <n v="130.1"/>
    <n v="127.8"/>
    <n v="117.6"/>
    <n v="125"/>
    <n v="133.80000000000001"/>
    <n v="122.6"/>
    <n v="125.1"/>
    <n v="130.9"/>
  </r>
  <r>
    <x v="0"/>
    <x v="4"/>
    <s v="April"/>
    <n v="133.19999999999999"/>
    <x v="11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</r>
  <r>
    <x v="1"/>
    <x v="4"/>
    <s v="April"/>
    <n v="132.69999999999999"/>
    <x v="120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s v="131.7"/>
    <n v="121.4"/>
    <n v="126"/>
    <n v="123.4"/>
    <n v="114.3"/>
    <n v="122.6"/>
    <n v="133.6"/>
    <n v="122.2"/>
    <n v="122.5"/>
    <n v="129.1"/>
  </r>
  <r>
    <x v="2"/>
    <x v="4"/>
    <s v="April"/>
    <n v="133"/>
    <x v="117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s v="131.7"/>
    <n v="129.80000000000001"/>
    <n v="130.4"/>
    <n v="128.1"/>
    <n v="116.6"/>
    <n v="125.1"/>
    <n v="134.5"/>
    <n v="123.1"/>
    <n v="125.1"/>
    <n v="131.1"/>
  </r>
  <r>
    <x v="0"/>
    <x v="4"/>
    <s v="May"/>
    <n v="133.1"/>
    <x v="103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</r>
  <r>
    <x v="1"/>
    <x v="4"/>
    <s v="May"/>
    <n v="132.6"/>
    <x v="12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s v="132.1"/>
    <n v="120.1"/>
    <n v="126.5"/>
    <n v="123.6"/>
    <n v="114.3"/>
    <n v="122.8"/>
    <n v="133.80000000000001"/>
    <n v="122"/>
    <n v="122.6"/>
    <n v="129.30000000000001"/>
  </r>
  <r>
    <x v="2"/>
    <x v="4"/>
    <s v="May"/>
    <n v="132.9"/>
    <x v="122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s v="132.1"/>
    <n v="129.4"/>
    <n v="130.9"/>
    <n v="128.4"/>
    <n v="116.7"/>
    <n v="125.7"/>
    <n v="134.80000000000001"/>
    <n v="123"/>
    <n v="125.3"/>
    <n v="131.4"/>
  </r>
  <r>
    <x v="0"/>
    <x v="4"/>
    <s v="June"/>
    <n v="133.5"/>
    <x v="123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</r>
  <r>
    <x v="1"/>
    <x v="4"/>
    <s v="June"/>
    <n v="132.9"/>
    <x v="124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s v="131.4"/>
    <n v="119"/>
    <n v="126.8"/>
    <n v="123.8"/>
    <n v="113.9"/>
    <n v="122.9"/>
    <n v="134.30000000000001"/>
    <n v="122.5"/>
    <n v="122.7"/>
    <n v="129.9"/>
  </r>
  <r>
    <x v="2"/>
    <x v="4"/>
    <s v="June"/>
    <n v="133.30000000000001"/>
    <x v="12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s v="131.4"/>
    <n v="128.80000000000001"/>
    <n v="131.19999999999999"/>
    <n v="128.5"/>
    <n v="116.5"/>
    <n v="125.9"/>
    <n v="135.4"/>
    <n v="123.4"/>
    <n v="125.5"/>
    <n v="132"/>
  </r>
  <r>
    <x v="0"/>
    <x v="4"/>
    <s v="July"/>
    <n v="134"/>
    <x v="100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</r>
  <r>
    <x v="1"/>
    <x v="4"/>
    <s v="July"/>
    <n v="132.80000000000001"/>
    <x v="126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s v="132.6"/>
    <n v="119.7"/>
    <n v="127.2"/>
    <n v="125"/>
    <n v="113.2"/>
    <n v="123.5"/>
    <n v="135.5"/>
    <n v="122.4"/>
    <n v="123"/>
    <n v="131.80000000000001"/>
  </r>
  <r>
    <x v="2"/>
    <x v="4"/>
    <s v="July"/>
    <n v="133.6"/>
    <x v="127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s v="132.6"/>
    <n v="129.4"/>
    <n v="131.9"/>
    <n v="129.4"/>
    <n v="116"/>
    <n v="126.6"/>
    <n v="136.80000000000001"/>
    <n v="123.6"/>
    <n v="125.9"/>
    <n v="134.19999999999999"/>
  </r>
  <r>
    <x v="0"/>
    <x v="4"/>
    <s v="August"/>
    <n v="134.80000000000001"/>
    <x v="128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</r>
  <r>
    <x v="1"/>
    <x v="4"/>
    <s v="August"/>
    <n v="133.19999999999999"/>
    <x v="97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s v="134.4"/>
    <n v="118.9"/>
    <n v="127.7"/>
    <n v="125.7"/>
    <n v="114.6"/>
    <n v="124.1"/>
    <n v="135.69999999999999"/>
    <n v="123.3"/>
    <n v="123.8"/>
    <n v="132.69999999999999"/>
  </r>
  <r>
    <x v="2"/>
    <x v="4"/>
    <s v="August"/>
    <n v="134.30000000000001"/>
    <x v="129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s v="134.4"/>
    <n v="129.80000000000001"/>
    <n v="132.80000000000001"/>
    <n v="130.19999999999999"/>
    <n v="117.3"/>
    <n v="127.3"/>
    <n v="137.6"/>
    <n v="124.5"/>
    <n v="126.8"/>
    <n v="135.4"/>
  </r>
  <r>
    <x v="0"/>
    <x v="4"/>
    <s v="September"/>
    <n v="135.19999999999999"/>
    <x v="130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</r>
  <r>
    <x v="1"/>
    <x v="4"/>
    <s v="September"/>
    <n v="133.6"/>
    <x v="131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s v="135.7"/>
    <n v="120.6"/>
    <n v="128.1"/>
    <n v="126.1"/>
    <n v="115.7"/>
    <n v="124.5"/>
    <n v="135.9"/>
    <n v="124.4"/>
    <n v="124.5"/>
    <n v="132.4"/>
  </r>
  <r>
    <x v="2"/>
    <x v="4"/>
    <s v="September"/>
    <n v="134.69999999999999"/>
    <x v="132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s v="135.7"/>
    <n v="131"/>
    <n v="133.30000000000001"/>
    <n v="130.6"/>
    <n v="118.3"/>
    <n v="127.9"/>
    <n v="137.4"/>
    <n v="125.7"/>
    <n v="127.5"/>
    <n v="135.19999999999999"/>
  </r>
  <r>
    <x v="0"/>
    <x v="4"/>
    <s v="October"/>
    <n v="135.9"/>
    <x v="133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</r>
  <r>
    <x v="1"/>
    <x v="4"/>
    <s v="October"/>
    <n v="133.9"/>
    <x v="134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s v="137.3"/>
    <n v="122.6"/>
    <n v="128.30000000000001"/>
    <n v="126.6"/>
    <n v="115"/>
    <n v="124.8"/>
    <n v="136.30000000000001"/>
    <n v="124.6"/>
    <n v="124.5"/>
    <n v="133.5"/>
  </r>
  <r>
    <x v="2"/>
    <x v="4"/>
    <s v="October"/>
    <n v="135.30000000000001"/>
    <x v="135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s v="137.3"/>
    <n v="132.19999999999999"/>
    <n v="133.6"/>
    <n v="131.30000000000001"/>
    <n v="117.8"/>
    <n v="128.4"/>
    <n v="137.9"/>
    <n v="126.2"/>
    <n v="127.7"/>
    <n v="136.1"/>
  </r>
  <r>
    <x v="0"/>
    <x v="4"/>
    <s v="November"/>
    <n v="136.30000000000001"/>
    <x v="136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</r>
  <r>
    <x v="1"/>
    <x v="4"/>
    <s v="November"/>
    <n v="134.30000000000001"/>
    <x v="94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s v="138.6"/>
    <n v="125.7"/>
    <n v="128.80000000000001"/>
    <n v="127.4"/>
    <n v="115.3"/>
    <n v="125.1"/>
    <n v="136.6"/>
    <n v="124.9"/>
    <n v="124.9"/>
    <n v="134.80000000000001"/>
  </r>
  <r>
    <x v="2"/>
    <x v="4"/>
    <s v="November"/>
    <n v="135.69999999999999"/>
    <x v="132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s v="138.6"/>
    <n v="135.30000000000001"/>
    <n v="134.4"/>
    <n v="132.6"/>
    <n v="118.3"/>
    <n v="128.9"/>
    <n v="138.6"/>
    <n v="126.8"/>
    <n v="128.4"/>
    <n v="137.6"/>
  </r>
  <r>
    <x v="0"/>
    <x v="4"/>
    <s v="December"/>
    <n v="136.4"/>
    <x v="123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</r>
  <r>
    <x v="1"/>
    <x v="4"/>
    <s v="December"/>
    <n v="134.4"/>
    <x v="137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s v="139.1"/>
    <n v="126.8"/>
    <n v="129.30000000000001"/>
    <n v="128.19999999999999"/>
    <n v="115.3"/>
    <n v="125.6"/>
    <n v="136.69999999999999"/>
    <n v="124.6"/>
    <n v="125.1"/>
    <n v="134.1"/>
  </r>
  <r>
    <x v="2"/>
    <x v="4"/>
    <s v="December"/>
    <n v="135.80000000000001"/>
    <x v="138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s v="139.1"/>
    <n v="136.6"/>
    <n v="134.69999999999999"/>
    <n v="133.1"/>
    <n v="118.5"/>
    <n v="129"/>
    <n v="138.5"/>
    <n v="126.5"/>
    <n v="128.6"/>
    <n v="137.19999999999999"/>
  </r>
  <r>
    <x v="0"/>
    <x v="5"/>
    <s v="January"/>
    <n v="136.6"/>
    <x v="139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</r>
  <r>
    <x v="1"/>
    <x v="5"/>
    <s v="January"/>
    <n v="134.6"/>
    <x v="123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s v="140.4"/>
    <n v="127.3"/>
    <n v="129.5"/>
    <n v="129"/>
    <n v="116.3"/>
    <n v="126.2"/>
    <n v="137.1"/>
    <n v="125.5"/>
    <n v="125.8"/>
    <n v="134.1"/>
  </r>
  <r>
    <x v="2"/>
    <x v="5"/>
    <s v="January"/>
    <n v="136"/>
    <x v="100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s v="140.4"/>
    <n v="136.6"/>
    <n v="134.9"/>
    <n v="133.30000000000001"/>
    <n v="119.3"/>
    <n v="129.69999999999999"/>
    <n v="139"/>
    <n v="127.3"/>
    <n v="129.1"/>
    <n v="136.9"/>
  </r>
  <r>
    <x v="0"/>
    <x v="5"/>
    <s v="February"/>
    <n v="136.4"/>
    <x v="123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</r>
  <r>
    <x v="1"/>
    <x v="5"/>
    <s v="February"/>
    <n v="134.80000000000001"/>
    <x v="131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s v="141.3"/>
    <n v="127.3"/>
    <n v="129.9"/>
    <n v="129.80000000000001"/>
    <n v="117.4"/>
    <n v="126.5"/>
    <n v="137.19999999999999"/>
    <n v="126.2"/>
    <n v="126.5"/>
    <n v="134"/>
  </r>
  <r>
    <x v="2"/>
    <x v="5"/>
    <s v="February"/>
    <n v="135.9"/>
    <x v="140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s v="141.3"/>
    <n v="136.69999999999999"/>
    <n v="135.19999999999999"/>
    <n v="133.80000000000001"/>
    <n v="120.2"/>
    <n v="129.9"/>
    <n v="139"/>
    <n v="127.7"/>
    <n v="129.6"/>
    <n v="136.4"/>
  </r>
  <r>
    <x v="0"/>
    <x v="5"/>
    <s v="March"/>
    <n v="136.80000000000001"/>
    <x v="14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</r>
  <r>
    <x v="1"/>
    <x v="5"/>
    <s v="March"/>
    <n v="135"/>
    <x v="128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s v="142"/>
    <n v="126.4"/>
    <n v="130.80000000000001"/>
    <n v="130.5"/>
    <n v="117.8"/>
    <n v="126.8"/>
    <n v="137.80000000000001"/>
    <n v="126.7"/>
    <n v="127.1"/>
    <n v="134"/>
  </r>
  <r>
    <x v="2"/>
    <x v="5"/>
    <s v="March"/>
    <n v="136.19999999999999"/>
    <x v="142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s v="142"/>
    <n v="136.5"/>
    <n v="135.6"/>
    <n v="134.30000000000001"/>
    <n v="121"/>
    <n v="130.4"/>
    <n v="139.80000000000001"/>
    <n v="128.19999999999999"/>
    <n v="130.30000000000001"/>
    <n v="136.5"/>
  </r>
  <r>
    <x v="0"/>
    <x v="5"/>
    <s v="April"/>
    <n v="137.1"/>
    <x v="143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</r>
  <r>
    <x v="1"/>
    <x v="5"/>
    <s v="April"/>
    <n v="135"/>
    <x v="144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s v="142.9"/>
    <n v="124.6"/>
    <n v="131.80000000000001"/>
    <n v="131.30000000000001"/>
    <n v="118.9"/>
    <n v="127.6"/>
    <n v="139.69999999999999"/>
    <n v="127.6"/>
    <n v="128.19999999999999"/>
    <n v="134.80000000000001"/>
  </r>
  <r>
    <x v="2"/>
    <x v="5"/>
    <s v="April"/>
    <n v="136.4"/>
    <x v="139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s v="142.9"/>
    <n v="136.5"/>
    <n v="136.6"/>
    <n v="135.19999999999999"/>
    <n v="121.9"/>
    <n v="131.30000000000001"/>
    <n v="141.4"/>
    <n v="129.19999999999999"/>
    <n v="131.30000000000001"/>
    <n v="137.1"/>
  </r>
  <r>
    <x v="0"/>
    <x v="5"/>
    <s v="May"/>
    <n v="137.4"/>
    <x v="127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</r>
  <r>
    <x v="1"/>
    <x v="5"/>
    <s v="May"/>
    <n v="135"/>
    <x v="145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s v="143.2"/>
    <n v="124.7"/>
    <n v="132.5"/>
    <n v="132"/>
    <n v="119.8"/>
    <n v="128"/>
    <n v="140.4"/>
    <n v="128.1"/>
    <n v="128.9"/>
    <n v="135.4"/>
  </r>
  <r>
    <x v="2"/>
    <x v="5"/>
    <s v="May"/>
    <n v="136.6"/>
    <x v="14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s v="143.2"/>
    <n v="136.9"/>
    <n v="137.4"/>
    <n v="136"/>
    <n v="122.9"/>
    <n v="131.80000000000001"/>
    <n v="142.1"/>
    <n v="129.9"/>
    <n v="132.1"/>
    <n v="137.80000000000001"/>
  </r>
  <r>
    <x v="0"/>
    <x v="5"/>
    <s v="June"/>
    <n v="137.6"/>
    <x v="147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</r>
  <r>
    <x v="1"/>
    <x v="5"/>
    <s v="June"/>
    <n v="135.30000000000001"/>
    <x v="148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s v="142.5"/>
    <n v="126.5"/>
    <n v="133.1"/>
    <n v="132.6"/>
    <n v="120.4"/>
    <n v="128.5"/>
    <n v="141.19999999999999"/>
    <n v="128.19999999999999"/>
    <n v="129.5"/>
    <n v="136.19999999999999"/>
  </r>
  <r>
    <x v="2"/>
    <x v="5"/>
    <s v="June"/>
    <n v="136.9"/>
    <x v="124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s v="142.5"/>
    <n v="138.1"/>
    <n v="137.9"/>
    <n v="136.19999999999999"/>
    <n v="123.7"/>
    <n v="132.6"/>
    <n v="142.80000000000001"/>
    <n v="130.1"/>
    <n v="132.6"/>
    <n v="138.5"/>
  </r>
  <r>
    <x v="0"/>
    <x v="5"/>
    <s v="July"/>
    <n v="138.4"/>
    <x v="149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</r>
  <r>
    <x v="1"/>
    <x v="5"/>
    <s v="July"/>
    <n v="135.6"/>
    <x v="150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s v="143.6"/>
    <n v="128.1"/>
    <n v="133.6"/>
    <n v="133.6"/>
    <n v="120.1"/>
    <n v="129"/>
    <n v="144"/>
    <n v="128.19999999999999"/>
    <n v="130.19999999999999"/>
    <n v="137.5"/>
  </r>
  <r>
    <x v="2"/>
    <x v="5"/>
    <s v="July"/>
    <n v="137.5"/>
    <x v="15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s v="143.6"/>
    <n v="139.69999999999999"/>
    <n v="138.6"/>
    <n v="137"/>
    <n v="123.6"/>
    <n v="133.1"/>
    <n v="144.69999999999999"/>
    <n v="130.1"/>
    <n v="133.19999999999999"/>
    <n v="139.80000000000001"/>
  </r>
  <r>
    <x v="0"/>
    <x v="5"/>
    <s v="August"/>
    <n v="139.19999999999999"/>
    <x v="152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</r>
  <r>
    <x v="1"/>
    <x v="5"/>
    <s v="August"/>
    <n v="136.5"/>
    <x v="153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s v="144.6"/>
    <n v="129.80000000000001"/>
    <n v="134.4"/>
    <n v="134.9"/>
    <n v="120.7"/>
    <n v="129.80000000000001"/>
    <n v="145.30000000000001"/>
    <n v="128.30000000000001"/>
    <n v="131"/>
    <n v="138"/>
  </r>
  <r>
    <x v="2"/>
    <x v="5"/>
    <s v="August"/>
    <n v="138.30000000000001"/>
    <x v="154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s v="144.6"/>
    <n v="140.9"/>
    <n v="139.4"/>
    <n v="137.69999999999999"/>
    <n v="124.3"/>
    <n v="133.6"/>
    <n v="146"/>
    <n v="130.1"/>
    <n v="133.9"/>
    <n v="140.4"/>
  </r>
  <r>
    <x v="0"/>
    <x v="5"/>
    <s v="September"/>
    <n v="139.4"/>
    <x v="155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</r>
  <r>
    <x v="1"/>
    <x v="5"/>
    <s v="September"/>
    <n v="137"/>
    <x v="128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s v="145.3"/>
    <n v="131.19999999999999"/>
    <n v="134.9"/>
    <n v="135.69999999999999"/>
    <n v="122.5"/>
    <n v="130.19999999999999"/>
    <n v="145.19999999999999"/>
    <n v="129.30000000000001"/>
    <n v="131.9"/>
    <n v="138.1"/>
  </r>
  <r>
    <x v="2"/>
    <x v="5"/>
    <s v="September"/>
    <n v="138.6"/>
    <x v="156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s v="145.3"/>
    <n v="142.30000000000001"/>
    <n v="139.69999999999999"/>
    <n v="138.4"/>
    <n v="126"/>
    <n v="134.5"/>
    <n v="146.19999999999999"/>
    <n v="130.9"/>
    <n v="134.69999999999999"/>
    <n v="140.19999999999999"/>
  </r>
  <r>
    <x v="0"/>
    <x v="5"/>
    <s v="October"/>
    <n v="139.30000000000001"/>
    <x v="157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</r>
  <r>
    <x v="1"/>
    <x v="5"/>
    <s v="October"/>
    <n v="137.6"/>
    <x v="158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s v="146.3"/>
    <n v="133.4"/>
    <n v="135.1"/>
    <n v="136.19999999999999"/>
    <n v="123.3"/>
    <n v="130.69999999999999"/>
    <n v="145.5"/>
    <n v="130.4"/>
    <n v="132.5"/>
    <n v="138.9"/>
  </r>
  <r>
    <x v="2"/>
    <x v="5"/>
    <s v="October"/>
    <n v="137.4"/>
    <x v="159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s v="146.9"/>
    <n v="145.30000000000001"/>
    <n v="142.19999999999999"/>
    <n v="142.1"/>
    <n v="125.5"/>
    <n v="136.5"/>
    <n v="147.80000000000001"/>
    <n v="132"/>
    <n v="136.30000000000001"/>
    <n v="140.80000000000001"/>
  </r>
  <r>
    <x v="0"/>
    <x v="5"/>
    <s v="November"/>
    <n v="137.1"/>
    <x v="160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</r>
  <r>
    <x v="1"/>
    <x v="5"/>
    <s v="November"/>
    <n v="138.1"/>
    <x v="16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s v="146.9"/>
    <n v="136.69999999999999"/>
    <n v="135.80000000000001"/>
    <n v="136.80000000000001"/>
    <n v="121.2"/>
    <n v="131.30000000000001"/>
    <n v="146.1"/>
    <n v="130.5"/>
    <n v="132.19999999999999"/>
    <n v="139"/>
  </r>
  <r>
    <x v="2"/>
    <x v="5"/>
    <s v="November"/>
    <n v="137.4"/>
    <x v="162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s v="146.9"/>
    <n v="145.1"/>
    <n v="142.19999999999999"/>
    <n v="142.1"/>
    <n v="125.5"/>
    <n v="136.5"/>
    <n v="147.80000000000001"/>
    <n v="132"/>
    <n v="136.30000000000001"/>
    <n v="140.80000000000001"/>
  </r>
  <r>
    <x v="0"/>
    <x v="5"/>
    <s v="December"/>
    <n v="137.1"/>
    <x v="163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</r>
  <r>
    <x v="1"/>
    <x v="5"/>
    <s v="December"/>
    <n v="138.5"/>
    <x v="164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s v="146.5"/>
    <n v="132.4"/>
    <n v="136.19999999999999"/>
    <n v="137.30000000000001"/>
    <n v="118.8"/>
    <n v="131.69999999999999"/>
    <n v="146.5"/>
    <n v="130.80000000000001"/>
    <n v="131.69999999999999"/>
    <n v="138"/>
  </r>
  <r>
    <x v="2"/>
    <x v="5"/>
    <s v="December"/>
    <n v="137.5"/>
    <x v="16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s v="146.5"/>
    <n v="142.69999999999999"/>
    <n v="143.19999999999999"/>
    <n v="144.9"/>
    <n v="123.6"/>
    <n v="136.80000000000001"/>
    <n v="150.1"/>
    <n v="132.19999999999999"/>
    <n v="136.80000000000001"/>
    <n v="140.1"/>
  </r>
  <r>
    <x v="0"/>
    <x v="6"/>
    <s v="January"/>
    <n v="136.6"/>
    <x v="166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</r>
  <r>
    <x v="1"/>
    <x v="6"/>
    <s v="January"/>
    <n v="138.30000000000001"/>
    <x v="167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s v="147.7"/>
    <n v="128.6"/>
    <n v="136.30000000000001"/>
    <n v="137.80000000000001"/>
    <n v="118.6"/>
    <n v="131.9"/>
    <n v="146.6"/>
    <n v="131.69999999999999"/>
    <n v="131.80000000000001"/>
    <n v="138"/>
  </r>
  <r>
    <x v="2"/>
    <x v="6"/>
    <s v="January"/>
    <n v="137.1"/>
    <x v="168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s v="147.7"/>
    <n v="139.5"/>
    <n v="143.6"/>
    <n v="145.1"/>
    <n v="123.3"/>
    <n v="136.69999999999999"/>
    <n v="150.19999999999999"/>
    <n v="132.80000000000001"/>
    <n v="136.9"/>
    <n v="139.6"/>
  </r>
  <r>
    <x v="0"/>
    <x v="6"/>
    <s v="February"/>
    <n v="136.80000000000001"/>
    <x v="169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</r>
  <r>
    <x v="1"/>
    <x v="6"/>
    <s v="February"/>
    <n v="139.4"/>
    <x v="170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s v="148.5"/>
    <n v="127.1"/>
    <n v="136.6"/>
    <n v="138.5"/>
    <n v="119.2"/>
    <n v="132.19999999999999"/>
    <n v="146.6"/>
    <n v="133"/>
    <n v="132.4"/>
    <n v="138.6"/>
  </r>
  <r>
    <x v="2"/>
    <x v="6"/>
    <s v="February"/>
    <n v="137.6"/>
    <x v="171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s v="148.5"/>
    <n v="138.4"/>
    <n v="143.69999999999999"/>
    <n v="145.6"/>
    <n v="123.9"/>
    <n v="137.1"/>
    <n v="150.30000000000001"/>
    <n v="134.1"/>
    <n v="137.4"/>
    <n v="139.9"/>
  </r>
  <r>
    <x v="0"/>
    <x v="6"/>
    <s v="March"/>
    <n v="136.9"/>
    <x v="172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</r>
  <r>
    <x v="1"/>
    <x v="6"/>
    <s v="March"/>
    <n v="139.69999999999999"/>
    <x v="173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s v="149"/>
    <n v="128.80000000000001"/>
    <n v="136.80000000000001"/>
    <n v="139.19999999999999"/>
    <n v="119.9"/>
    <n v="133"/>
    <n v="146.69999999999999"/>
    <n v="132.5"/>
    <n v="132.80000000000001"/>
    <n v="139.5"/>
  </r>
  <r>
    <x v="2"/>
    <x v="6"/>
    <s v="March"/>
    <n v="137.80000000000001"/>
    <x v="169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s v="149"/>
    <n v="139.69999999999999"/>
    <n v="143.80000000000001"/>
    <n v="146.19999999999999"/>
    <n v="124.6"/>
    <n v="137.69999999999999"/>
    <n v="150.30000000000001"/>
    <n v="133.4"/>
    <n v="137.69999999999999"/>
    <n v="140.4"/>
  </r>
  <r>
    <x v="0"/>
    <x v="6"/>
    <s v="May"/>
    <n v="137.4"/>
    <x v="174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</r>
  <r>
    <x v="1"/>
    <x v="6"/>
    <s v="May"/>
    <n v="140.4"/>
    <x v="175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s v="150.1"/>
    <n v="129.4"/>
    <n v="137.19999999999999"/>
    <n v="139.80000000000001"/>
    <n v="120.1"/>
    <n v="134"/>
    <n v="148"/>
    <n v="132.6"/>
    <n v="133.30000000000001"/>
    <n v="141.5"/>
  </r>
  <r>
    <x v="2"/>
    <x v="6"/>
    <s v="May"/>
    <n v="138.30000000000001"/>
    <x v="176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s v="150.1"/>
    <n v="140.30000000000001"/>
    <n v="143.69999999999999"/>
    <n v="146.9"/>
    <n v="124.9"/>
    <n v="139.19999999999999"/>
    <n v="151.6"/>
    <n v="133.4"/>
    <n v="138.19999999999999"/>
    <n v="142"/>
  </r>
  <r>
    <x v="0"/>
    <x v="6"/>
    <s v="June"/>
    <n v="137.80000000000001"/>
    <x v="177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</r>
  <r>
    <x v="1"/>
    <x v="6"/>
    <s v="June"/>
    <n v="140.69999999999999"/>
    <x v="178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s v="149.4"/>
    <n v="130.5"/>
    <n v="137.4"/>
    <n v="140.30000000000001"/>
    <n v="119.6"/>
    <n v="134.30000000000001"/>
    <n v="148.9"/>
    <n v="133.69999999999999"/>
    <n v="133.6"/>
    <n v="142.1"/>
  </r>
  <r>
    <x v="2"/>
    <x v="6"/>
    <s v="June"/>
    <n v="138.69999999999999"/>
    <x v="179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s v="149.4"/>
    <n v="141.19999999999999"/>
    <n v="143.80000000000001"/>
    <n v="147.4"/>
    <n v="124.6"/>
    <n v="139.6"/>
    <n v="152.5"/>
    <n v="134.30000000000001"/>
    <n v="138.6"/>
    <n v="142.9"/>
  </r>
  <r>
    <x v="0"/>
    <x v="6"/>
    <s v="July"/>
    <n v="138.4"/>
    <x v="180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</r>
  <r>
    <x v="1"/>
    <x v="6"/>
    <s v="July"/>
    <n v="141.4"/>
    <x v="181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s v="150.6"/>
    <n v="127"/>
    <n v="137.69999999999999"/>
    <n v="140.80000000000001"/>
    <n v="120.6"/>
    <n v="135"/>
    <n v="150.4"/>
    <n v="135.1"/>
    <n v="134.5"/>
    <n v="143.30000000000001"/>
  </r>
  <r>
    <x v="2"/>
    <x v="6"/>
    <s v="July"/>
    <n v="139.30000000000001"/>
    <x v="182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s v="150.6"/>
    <n v="139.30000000000001"/>
    <n v="144.19999999999999"/>
    <n v="147.9"/>
    <n v="125.6"/>
    <n v="140.5"/>
    <n v="154"/>
    <n v="135.69999999999999"/>
    <n v="139.5"/>
    <n v="144.19999999999999"/>
  </r>
  <r>
    <x v="0"/>
    <x v="6"/>
    <s v="August"/>
    <n v="139.19999999999999"/>
    <x v="183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</r>
  <r>
    <x v="1"/>
    <x v="6"/>
    <s v="August"/>
    <n v="142.1"/>
    <x v="184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s v="151.6"/>
    <n v="125.5"/>
    <n v="138.1"/>
    <n v="141.5"/>
    <n v="120.8"/>
    <n v="135.4"/>
    <n v="151.5"/>
    <n v="137.80000000000001"/>
    <n v="135.30000000000001"/>
    <n v="144.19999999999999"/>
  </r>
  <r>
    <x v="2"/>
    <x v="6"/>
    <s v="August"/>
    <n v="140.1"/>
    <x v="185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s v="151.6"/>
    <n v="138.5"/>
    <n v="144.5"/>
    <n v="148.5"/>
    <n v="125.8"/>
    <n v="140.9"/>
    <n v="154.9"/>
    <n v="138.4"/>
    <n v="140.19999999999999"/>
    <n v="145"/>
  </r>
  <r>
    <x v="0"/>
    <x v="6"/>
    <s v="September"/>
    <n v="140.1"/>
    <x v="183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</r>
  <r>
    <x v="1"/>
    <x v="6"/>
    <s v="September"/>
    <n v="142.69999999999999"/>
    <x v="186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s v="152.2"/>
    <n v="126.6"/>
    <n v="138.30000000000001"/>
    <n v="141.9"/>
    <n v="121.2"/>
    <n v="135.9"/>
    <n v="151.6"/>
    <n v="139"/>
    <n v="135.69999999999999"/>
    <n v="144.69999999999999"/>
  </r>
  <r>
    <x v="2"/>
    <x v="6"/>
    <s v="September"/>
    <n v="140.9"/>
    <x v="187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s v="152.2"/>
    <n v="139.19999999999999"/>
    <n v="144.6"/>
    <n v="149"/>
    <n v="126.1"/>
    <n v="141.30000000000001"/>
    <n v="155.19999999999999"/>
    <n v="139.69999999999999"/>
    <n v="140.69999999999999"/>
    <n v="145.80000000000001"/>
  </r>
  <r>
    <x v="0"/>
    <x v="6"/>
    <s v="October"/>
    <n v="141"/>
    <x v="188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x v="1"/>
    <x v="6"/>
    <s v="October"/>
    <n v="143.5"/>
    <x v="189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s v="153"/>
    <n v="128.9"/>
    <n v="138.69999999999999"/>
    <n v="142.4"/>
    <n v="121.5"/>
    <n v="136.19999999999999"/>
    <n v="151.69999999999999"/>
    <n v="139.5"/>
    <n v="136"/>
    <n v="146"/>
  </r>
  <r>
    <x v="2"/>
    <x v="6"/>
    <s v="October"/>
    <n v="141.80000000000001"/>
    <x v="190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s v="153"/>
    <n v="140.6"/>
    <n v="145"/>
    <n v="149.4"/>
    <n v="126.3"/>
    <n v="141.69999999999999"/>
    <n v="155.4"/>
    <n v="140"/>
    <n v="141"/>
    <n v="147.19999999999999"/>
  </r>
  <r>
    <x v="0"/>
    <x v="6"/>
    <s v="November"/>
    <n v="141.80000000000001"/>
    <x v="191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</r>
  <r>
    <x v="1"/>
    <x v="6"/>
    <s v="November"/>
    <n v="144.1"/>
    <x v="192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s v="153.5"/>
    <n v="132.19999999999999"/>
    <n v="139.1"/>
    <n v="142.80000000000001"/>
    <n v="121.7"/>
    <n v="136.69999999999999"/>
    <n v="151.80000000000001"/>
    <n v="139.80000000000001"/>
    <n v="136.30000000000001"/>
    <n v="147"/>
  </r>
  <r>
    <x v="2"/>
    <x v="6"/>
    <s v="November"/>
    <n v="142.5"/>
    <x v="193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s v="153.5"/>
    <n v="142.30000000000001"/>
    <n v="145.30000000000001"/>
    <n v="149.9"/>
    <n v="126.6"/>
    <n v="142.1"/>
    <n v="155.5"/>
    <n v="140.30000000000001"/>
    <n v="141.30000000000001"/>
    <n v="148.6"/>
  </r>
  <r>
    <x v="0"/>
    <x v="6"/>
    <s v="December"/>
    <n v="142.80000000000001"/>
    <x v="194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</r>
  <r>
    <x v="1"/>
    <x v="6"/>
    <s v="December"/>
    <n v="144.9"/>
    <x v="19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s v="152.8"/>
    <n v="133.6"/>
    <n v="139.80000000000001"/>
    <n v="143.19999999999999"/>
    <n v="125.2"/>
    <n v="136.80000000000001"/>
    <n v="151.9"/>
    <n v="140.19999999999999"/>
    <n v="137.69999999999999"/>
    <n v="148.30000000000001"/>
  </r>
  <r>
    <x v="2"/>
    <x v="6"/>
    <s v="December"/>
    <n v="143.5"/>
    <x v="196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s v="152.8"/>
    <n v="143.69999999999999"/>
    <n v="145.80000000000001"/>
    <n v="150.4"/>
    <n v="129.80000000000001"/>
    <n v="142.30000000000001"/>
    <n v="155.69999999999999"/>
    <n v="140.4"/>
    <n v="142.5"/>
    <n v="150.4"/>
  </r>
  <r>
    <x v="0"/>
    <x v="7"/>
    <s v="January"/>
    <n v="143.69999999999999"/>
    <x v="197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</r>
  <r>
    <x v="1"/>
    <x v="7"/>
    <s v="January"/>
    <n v="145.6"/>
    <x v="198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s v="153.9"/>
    <n v="135.1"/>
    <n v="140.1"/>
    <n v="143.80000000000001"/>
    <n v="126.1"/>
    <n v="137.19999999999999"/>
    <n v="152.1"/>
    <n v="142.1"/>
    <n v="138.4"/>
    <n v="148.19999999999999"/>
  </r>
  <r>
    <x v="2"/>
    <x v="7"/>
    <s v="January"/>
    <n v="144.30000000000001"/>
    <x v="199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s v="153.9"/>
    <n v="144.6"/>
    <n v="146.19999999999999"/>
    <n v="151.19999999999999"/>
    <n v="130.9"/>
    <n v="142.80000000000001"/>
    <n v="156.1"/>
    <n v="142.30000000000001"/>
    <n v="143.4"/>
    <n v="150.19999999999999"/>
  </r>
  <r>
    <x v="0"/>
    <x v="7"/>
    <s v="February"/>
    <n v="144.19999999999999"/>
    <x v="200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</r>
  <r>
    <x v="1"/>
    <x v="7"/>
    <s v="February"/>
    <n v="146.19999999999999"/>
    <x v="198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s v="154.8"/>
    <n v="138.9"/>
    <n v="140.4"/>
    <n v="144.4"/>
    <n v="125.2"/>
    <n v="137.69999999999999"/>
    <n v="152.19999999999999"/>
    <n v="143.5"/>
    <n v="138.4"/>
    <n v="147.69999999999999"/>
  </r>
  <r>
    <x v="2"/>
    <x v="7"/>
    <s v="February"/>
    <n v="144.80000000000001"/>
    <x v="200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s v="154.8"/>
    <n v="147.19999999999999"/>
    <n v="146.4"/>
    <n v="151.69999999999999"/>
    <n v="130.30000000000001"/>
    <n v="143.19999999999999"/>
    <n v="156.19999999999999"/>
    <n v="143.4"/>
    <n v="143.6"/>
    <n v="149.1"/>
  </r>
  <r>
    <x v="0"/>
    <x v="7"/>
    <s v="March"/>
    <n v="144.4"/>
    <x v="201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</r>
  <r>
    <x v="1"/>
    <x v="7"/>
    <s v="March"/>
    <n v="146.5"/>
    <x v="200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s v="154.5"/>
    <n v="141.4"/>
    <n v="140.80000000000001"/>
    <n v="145"/>
    <n v="124.6"/>
    <n v="137.9"/>
    <n v="152.5"/>
    <n v="145.30000000000001"/>
    <n v="138.69999999999999"/>
    <n v="147.30000000000001"/>
  </r>
  <r>
    <x v="2"/>
    <x v="7"/>
    <s v="March"/>
    <n v="145.1"/>
    <x v="202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s v="154.5"/>
    <n v="148.9"/>
    <n v="146.4"/>
    <n v="152.30000000000001"/>
    <n v="129.9"/>
    <n v="143.69999999999999"/>
    <n v="156.1"/>
    <n v="145.19999999999999"/>
    <n v="143.80000000000001"/>
    <n v="148.6"/>
  </r>
  <r>
    <x v="0"/>
    <x v="7"/>
    <s v="April"/>
    <n v="147.19999999999999"/>
    <x v="203"/>
    <n v="146.9"/>
    <n v="155.6"/>
    <n v="137.1"/>
    <n v="147.30000000000001"/>
    <n v="162.69999999999999"/>
    <n v="150.19999999999999"/>
    <n v="119.8"/>
    <n v="158.69999999999999"/>
    <n v="139.19999999999999"/>
    <m/>
    <n v="150.1"/>
    <m/>
    <m/>
    <m/>
    <m/>
    <s v="NA"/>
    <n v="148.4"/>
    <m/>
    <n v="154.30000000000001"/>
    <m/>
    <m/>
    <m/>
    <m/>
    <m/>
    <m/>
  </r>
  <r>
    <x v="1"/>
    <x v="7"/>
    <s v="April"/>
    <n v="151.80000000000001"/>
    <x v="203"/>
    <n v="151.9"/>
    <n v="155.5"/>
    <n v="131.6"/>
    <n v="152.9"/>
    <n v="180"/>
    <n v="150.80000000000001"/>
    <n v="121.2"/>
    <n v="154"/>
    <n v="133.5"/>
    <m/>
    <n v="153.5"/>
    <m/>
    <m/>
    <m/>
    <m/>
    <s v="155.6"/>
    <n v="137.1"/>
    <m/>
    <n v="144.80000000000001"/>
    <m/>
    <m/>
    <m/>
    <m/>
    <m/>
    <m/>
  </r>
  <r>
    <x v="2"/>
    <x v="7"/>
    <s v="April"/>
    <n v="148.69999999999999"/>
    <x v="203"/>
    <n v="148.80000000000001"/>
    <n v="155.6"/>
    <n v="135.1"/>
    <n v="149.9"/>
    <n v="168.6"/>
    <n v="150.4"/>
    <n v="120.3"/>
    <n v="157.1"/>
    <n v="136.80000000000001"/>
    <m/>
    <n v="151.4"/>
    <m/>
    <m/>
    <m/>
    <m/>
    <s v="155.6"/>
    <n v="144.1"/>
    <m/>
    <n v="150.69999999999999"/>
    <m/>
    <m/>
    <m/>
    <m/>
    <m/>
    <m/>
  </r>
  <r>
    <x v="0"/>
    <x v="7"/>
    <s v="May"/>
    <m/>
    <x v="203"/>
    <m/>
    <m/>
    <m/>
    <m/>
    <m/>
    <m/>
    <m/>
    <m/>
    <m/>
    <m/>
    <m/>
    <m/>
    <m/>
    <m/>
    <m/>
    <s v="NA"/>
    <m/>
    <m/>
    <m/>
    <m/>
    <m/>
    <m/>
    <m/>
    <m/>
    <m/>
  </r>
  <r>
    <x v="1"/>
    <x v="7"/>
    <s v="May"/>
    <m/>
    <x v="203"/>
    <m/>
    <m/>
    <m/>
    <m/>
    <m/>
    <m/>
    <m/>
    <m/>
    <m/>
    <m/>
    <m/>
    <m/>
    <m/>
    <m/>
    <m/>
    <s v="NA"/>
    <m/>
    <m/>
    <m/>
    <m/>
    <m/>
    <m/>
    <m/>
    <m/>
    <m/>
  </r>
  <r>
    <x v="2"/>
    <x v="7"/>
    <s v="May"/>
    <m/>
    <x v="203"/>
    <m/>
    <m/>
    <m/>
    <m/>
    <m/>
    <m/>
    <m/>
    <m/>
    <m/>
    <m/>
    <m/>
    <m/>
    <m/>
    <m/>
    <m/>
    <s v="NA"/>
    <m/>
    <m/>
    <m/>
    <m/>
    <m/>
    <m/>
    <m/>
    <m/>
    <m/>
  </r>
  <r>
    <x v="0"/>
    <x v="7"/>
    <s v="June"/>
    <n v="148.19999999999999"/>
    <x v="204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s v="June"/>
    <n v="152.69999999999999"/>
    <x v="205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s v="154.7"/>
    <n v="137.1"/>
    <n v="140.4"/>
    <n v="148.1"/>
    <n v="129.30000000000001"/>
    <n v="144.5"/>
    <n v="152.5"/>
    <n v="152.19999999999999"/>
    <n v="142"/>
    <n v="150.80000000000001"/>
  </r>
  <r>
    <x v="2"/>
    <x v="7"/>
    <s v="June"/>
    <n v="149.6"/>
    <x v="206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s v="154.7"/>
    <n v="141.9"/>
    <n v="146.4"/>
    <n v="154.4"/>
    <n v="135"/>
    <n v="148.30000000000001"/>
    <n v="156.4"/>
    <n v="151.6"/>
    <n v="147"/>
    <n v="151.80000000000001"/>
  </r>
  <r>
    <x v="0"/>
    <x v="7"/>
    <s v="July"/>
    <n v="148.19999999999999"/>
    <x v="204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s v="July"/>
    <n v="152.69999999999999"/>
    <x v="205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s v="154.7"/>
    <n v="137.1"/>
    <n v="140.4"/>
    <n v="148.1"/>
    <n v="129.30000000000001"/>
    <n v="144.5"/>
    <n v="152.5"/>
    <n v="152.19999999999999"/>
    <n v="142"/>
    <n v="150.80000000000001"/>
  </r>
  <r>
    <x v="2"/>
    <x v="7"/>
    <s v="July"/>
    <n v="149.6"/>
    <x v="206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s v="154.7"/>
    <n v="141.9"/>
    <n v="146.4"/>
    <n v="154.4"/>
    <n v="135"/>
    <n v="148.30000000000001"/>
    <n v="156.4"/>
    <n v="151.6"/>
    <n v="147"/>
    <n v="151.80000000000001"/>
  </r>
  <r>
    <x v="0"/>
    <x v="7"/>
    <s v="August"/>
    <n v="147.6"/>
    <x v="207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</r>
  <r>
    <x v="1"/>
    <x v="7"/>
    <s v="August"/>
    <n v="151.6"/>
    <x v="20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s v="155.5"/>
    <n v="138.30000000000001"/>
    <n v="144.5"/>
    <n v="148.69999999999999"/>
    <n v="133.9"/>
    <n v="141.19999999999999"/>
    <n v="155.5"/>
    <n v="155.19999999999999"/>
    <n v="144.80000000000001"/>
    <n v="152.9"/>
  </r>
  <r>
    <x v="2"/>
    <x v="7"/>
    <s v="August"/>
    <n v="148.9"/>
    <x v="20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s v="155.5"/>
    <n v="143"/>
    <n v="148.4"/>
    <n v="155"/>
    <n v="138.5"/>
    <n v="146"/>
    <n v="158.5"/>
    <n v="154.30000000000001"/>
    <n v="149"/>
    <n v="153.9"/>
  </r>
  <r>
    <x v="0"/>
    <x v="7"/>
    <s v="September"/>
    <n v="146.9"/>
    <x v="210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</r>
  <r>
    <x v="1"/>
    <x v="7"/>
    <s v="September"/>
    <n v="151.5"/>
    <x v="21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s v="156.3"/>
    <n v="137.19999999999999"/>
    <n v="145.4"/>
    <n v="150"/>
    <n v="135.1"/>
    <n v="141.80000000000001"/>
    <n v="154.9"/>
    <n v="159.80000000000001"/>
    <n v="146"/>
    <n v="154"/>
  </r>
  <r>
    <x v="2"/>
    <x v="7"/>
    <s v="September"/>
    <n v="148.4"/>
    <x v="212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s v="156.3"/>
    <n v="142.9"/>
    <n v="148.69999999999999"/>
    <n v="155.6"/>
    <n v="139.6"/>
    <n v="146.6"/>
    <n v="157.5"/>
    <n v="158.4"/>
    <n v="150"/>
    <n v="154.69999999999999"/>
  </r>
  <r>
    <x v="0"/>
    <x v="7"/>
    <s v="October"/>
    <n v="146"/>
    <x v="21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</r>
  <r>
    <x v="1"/>
    <x v="7"/>
    <s v="October"/>
    <n v="150.6"/>
    <x v="214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s v="156.5"/>
    <n v="137.1"/>
    <n v="145.1"/>
    <n v="151"/>
    <n v="135.4"/>
    <n v="142"/>
    <n v="155.69999999999999"/>
    <n v="158.1"/>
    <n v="146.19999999999999"/>
    <n v="155.19999999999999"/>
  </r>
  <r>
    <x v="2"/>
    <x v="7"/>
    <s v="October"/>
    <n v="147.5"/>
    <x v="215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s v="156.5"/>
    <n v="143.1"/>
    <n v="148.69999999999999"/>
    <n v="156.30000000000001"/>
    <n v="140.6"/>
    <n v="146.5"/>
    <n v="158.5"/>
    <n v="157"/>
    <n v="150.4"/>
    <n v="156.4"/>
  </r>
  <r>
    <x v="0"/>
    <x v="7"/>
    <s v="November"/>
    <n v="145.4"/>
    <x v="21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</r>
  <r>
    <x v="1"/>
    <x v="7"/>
    <s v="November"/>
    <n v="149.69999999999999"/>
    <x v="217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s v="158"/>
    <n v="137.30000000000001"/>
    <n v="145.1"/>
    <n v="152"/>
    <n v="135.19999999999999"/>
    <n v="144.4"/>
    <n v="156.4"/>
    <n v="157.9"/>
    <n v="146.6"/>
    <n v="156.69999999999999"/>
  </r>
  <r>
    <x v="2"/>
    <x v="7"/>
    <s v="November"/>
    <n v="146.80000000000001"/>
    <x v="218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s v="158"/>
    <n v="143.6"/>
    <n v="149.19999999999999"/>
    <n v="157.19999999999999"/>
    <n v="140.4"/>
    <n v="148.4"/>
    <n v="158.6"/>
    <n v="156.9"/>
    <n v="150.69999999999999"/>
    <n v="158.4"/>
  </r>
  <r>
    <x v="0"/>
    <x v="7"/>
    <s v="December"/>
    <n v="144.6"/>
    <x v="219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</r>
  <r>
    <x v="1"/>
    <x v="7"/>
    <s v="December"/>
    <n v="149"/>
    <x v="220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s v="158.4"/>
    <n v="137.9"/>
    <n v="145.5"/>
    <n v="152.9"/>
    <n v="135.5"/>
    <n v="144.30000000000001"/>
    <n v="156.9"/>
    <n v="157.9"/>
    <n v="146.9"/>
    <n v="156.9"/>
  </r>
  <r>
    <x v="2"/>
    <x v="7"/>
    <s v="December"/>
    <n v="146"/>
    <x v="218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s v="158.4"/>
    <n v="144.6"/>
    <n v="149.69999999999999"/>
    <n v="158.30000000000001"/>
    <n v="140.69999999999999"/>
    <n v="148.5"/>
    <n v="159.4"/>
    <n v="157.1"/>
    <n v="151.19999999999999"/>
    <n v="158.9"/>
  </r>
  <r>
    <x v="0"/>
    <x v="8"/>
    <s v="January"/>
    <n v="143.4"/>
    <x v="221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</r>
  <r>
    <x v="1"/>
    <x v="8"/>
    <s v="January"/>
    <n v="148"/>
    <x v="222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s v="157.7"/>
    <n v="142.9"/>
    <n v="145.69999999999999"/>
    <n v="154.1"/>
    <n v="136.9"/>
    <n v="145.4"/>
    <n v="156.1"/>
    <n v="157.69999999999999"/>
    <n v="147.6"/>
    <n v="156"/>
  </r>
  <r>
    <x v="2"/>
    <x v="8"/>
    <s v="January"/>
    <n v="144.9"/>
    <x v="223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s v="157.7"/>
    <n v="147.9"/>
    <n v="150"/>
    <n v="159.30000000000001"/>
    <n v="141.9"/>
    <n v="149.6"/>
    <n v="159.19999999999999"/>
    <n v="156.80000000000001"/>
    <n v="151.9"/>
    <n v="157.30000000000001"/>
  </r>
  <r>
    <x v="0"/>
    <x v="8"/>
    <s v="February"/>
    <n v="142.80000000000001"/>
    <x v="22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</r>
  <r>
    <x v="1"/>
    <x v="8"/>
    <s v="February"/>
    <n v="147.6"/>
    <x v="225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s v="159.8"/>
    <n v="149.1"/>
    <n v="146.5"/>
    <n v="156.30000000000001"/>
    <n v="140.5"/>
    <n v="147.30000000000001"/>
    <n v="156.6"/>
    <n v="156.69999999999999"/>
    <n v="149.30000000000001"/>
    <n v="156.5"/>
  </r>
  <r>
    <x v="2"/>
    <x v="8"/>
    <s v="February"/>
    <n v="144.30000000000001"/>
    <x v="226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s v="159.8"/>
    <n v="152.4"/>
    <n v="150.9"/>
    <n v="161.30000000000001"/>
    <n v="145.1"/>
    <n v="151.5"/>
    <n v="159.5"/>
    <n v="155.80000000000001"/>
    <n v="153.4"/>
    <n v="156.6"/>
  </r>
  <r>
    <x v="0"/>
    <x v="8"/>
    <s v="March"/>
    <n v="142.5"/>
    <x v="227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</r>
  <r>
    <x v="1"/>
    <x v="8"/>
    <s v="March"/>
    <n v="147.5"/>
    <x v="228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s v="159.9"/>
    <n v="154.80000000000001"/>
    <n v="147.19999999999999"/>
    <n v="156.9"/>
    <n v="141.69999999999999"/>
    <n v="148.6"/>
    <n v="157.6"/>
    <n v="154.9"/>
    <n v="150"/>
    <n v="156.9"/>
  </r>
  <r>
    <x v="2"/>
    <x v="8"/>
    <s v="March"/>
    <n v="144.1"/>
    <x v="229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s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x v="0"/>
    <x v="8"/>
    <s v="April"/>
    <n v="142.69999999999999"/>
    <x v="217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</r>
  <r>
    <x v="1"/>
    <x v="8"/>
    <s v="April"/>
    <n v="147.6"/>
    <x v="230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s v="161.4"/>
    <n v="154.9"/>
    <n v="147.6"/>
    <n v="157.5"/>
    <n v="142.1"/>
    <n v="149.1"/>
    <n v="157.6"/>
    <n v="156.6"/>
    <n v="150.5"/>
    <n v="158"/>
  </r>
  <r>
    <x v="2"/>
    <x v="8"/>
    <s v="April"/>
    <n v="144.30000000000001"/>
    <x v="231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s v="161.4"/>
    <n v="155.6"/>
    <n v="151.80000000000001"/>
    <n v="162.30000000000001"/>
    <n v="146.6"/>
    <n v="153.19999999999999"/>
    <n v="160.30000000000001"/>
    <n v="155.4"/>
    <n v="154.4"/>
    <n v="157.80000000000001"/>
  </r>
  <r>
    <x v="0"/>
    <x v="8"/>
    <s v="May"/>
    <n v="145.1"/>
    <x v="232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</r>
  <r>
    <x v="1"/>
    <x v="8"/>
    <s v="May"/>
    <n v="148.80000000000001"/>
    <x v="23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s v="161.6"/>
    <n v="155.5"/>
    <n v="150.1"/>
    <n v="160.4"/>
    <n v="145"/>
    <n v="152.6"/>
    <n v="156.6"/>
    <n v="157.5"/>
    <n v="152.30000000000001"/>
    <n v="159.5"/>
  </r>
  <r>
    <x v="2"/>
    <x v="8"/>
    <s v="May"/>
    <n v="146.30000000000001"/>
    <x v="234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s v="161.6"/>
    <n v="159.4"/>
    <n v="154.69999999999999"/>
    <n v="165.8"/>
    <n v="148.9"/>
    <n v="155.80000000000001"/>
    <n v="161.19999999999999"/>
    <n v="158.6"/>
    <n v="156.80000000000001"/>
    <n v="160.4"/>
  </r>
  <r>
    <x v="0"/>
    <x v="8"/>
    <s v="June"/>
    <n v="145.6"/>
    <x v="235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</r>
  <r>
    <x v="1"/>
    <x v="8"/>
    <s v="June"/>
    <n v="149.19999999999999"/>
    <x v="236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s v="160.5"/>
    <n v="156.1"/>
    <n v="149.80000000000001"/>
    <n v="160.80000000000001"/>
    <n v="147.5"/>
    <n v="150.69999999999999"/>
    <n v="158.1"/>
    <n v="158"/>
    <n v="153.4"/>
    <n v="160.4"/>
  </r>
  <r>
    <x v="2"/>
    <x v="8"/>
    <s v="June"/>
    <n v="146.69999999999999"/>
    <x v="237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s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x v="0"/>
    <x v="8"/>
    <s v="July"/>
    <n v="145.1"/>
    <x v="238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</r>
  <r>
    <x v="1"/>
    <x v="8"/>
    <s v="July"/>
    <n v="149.1"/>
    <x v="23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s v="161.5"/>
    <n v="157.69999999999999"/>
    <n v="150.69999999999999"/>
    <n v="161.5"/>
    <n v="149.5"/>
    <n v="151.19999999999999"/>
    <n v="160.30000000000001"/>
    <n v="159.6"/>
    <n v="155"/>
    <n v="161.80000000000001"/>
  </r>
  <r>
    <x v="2"/>
    <x v="8"/>
    <s v="July"/>
    <n v="146.4"/>
    <x v="240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s v="161.5"/>
    <n v="160.69999999999999"/>
    <n v="155.80000000000001"/>
    <n v="167"/>
    <n v="153.1"/>
    <n v="155.30000000000001"/>
    <n v="163.19999999999999"/>
    <n v="160.1"/>
    <n v="159"/>
    <n v="162.5"/>
  </r>
  <r>
    <x v="0"/>
    <x v="8"/>
    <s v="August"/>
    <n v="144.9"/>
    <x v="241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</r>
  <r>
    <x v="1"/>
    <x v="8"/>
    <s v="August"/>
    <n v="149.30000000000001"/>
    <x v="242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s v="162.1"/>
    <n v="160.69999999999999"/>
    <n v="153.19999999999999"/>
    <n v="162.80000000000001"/>
    <n v="150.4"/>
    <n v="153.69999999999999"/>
    <n v="160.4"/>
    <n v="159.6"/>
    <n v="156"/>
    <n v="162.30000000000001"/>
  </r>
  <r>
    <x v="2"/>
    <x v="8"/>
    <s v="August"/>
    <n v="146.6"/>
    <x v="243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s v="162.1"/>
    <n v="162.6"/>
    <n v="157.5"/>
    <n v="168.4"/>
    <n v="154"/>
    <n v="157.6"/>
    <n v="163.80000000000001"/>
    <n v="160"/>
    <n v="160"/>
    <n v="163.19999999999999"/>
  </r>
  <r>
    <x v="0"/>
    <x v="8"/>
    <s v="September"/>
    <n v="145.4"/>
    <x v="244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</r>
  <r>
    <x v="1"/>
    <x v="8"/>
    <s v="September"/>
    <n v="149.30000000000001"/>
    <x v="242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s v="162.1"/>
    <n v="160.80000000000001"/>
    <n v="153.30000000000001"/>
    <n v="162.80000000000001"/>
    <n v="150.5"/>
    <n v="153.9"/>
    <n v="160.30000000000001"/>
    <n v="159.6"/>
    <n v="156"/>
    <n v="162.30000000000001"/>
  </r>
  <r>
    <x v="2"/>
    <x v="8"/>
    <s v="September"/>
    <n v="146.6"/>
    <x v="243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s v="162.1"/>
    <n v="162.6"/>
    <n v="157.5"/>
    <n v="168.4"/>
    <n v="154"/>
    <n v="157.69999999999999"/>
    <n v="163.69999999999999"/>
    <n v="160"/>
    <n v="160"/>
    <n v="163.19999999999999"/>
  </r>
  <r>
    <x v="0"/>
    <x v="8"/>
    <s v="October"/>
    <n v="146.1"/>
    <x v="230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</r>
  <r>
    <x v="1"/>
    <x v="8"/>
    <s v="October"/>
    <n v="150.1"/>
    <x v="245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s v="163.6"/>
    <n v="162.19999999999999"/>
    <n v="154.30000000000001"/>
    <n v="163.5"/>
    <n v="152.19999999999999"/>
    <n v="155.1"/>
    <n v="160.30000000000001"/>
    <n v="160.30000000000001"/>
    <n v="157"/>
    <n v="164.6"/>
  </r>
  <r>
    <x v="2"/>
    <x v="8"/>
    <s v="October"/>
    <n v="147.4"/>
    <x v="24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s v="163.6"/>
    <n v="164.2"/>
    <n v="158.4"/>
    <n v="169.1"/>
    <n v="155.69999999999999"/>
    <n v="158.6"/>
    <n v="163.9"/>
    <n v="160.80000000000001"/>
    <n v="161"/>
    <n v="165.5"/>
  </r>
  <r>
    <x v="0"/>
    <x v="8"/>
    <s v="November"/>
    <n v="146.9"/>
    <x v="247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</r>
  <r>
    <x v="1"/>
    <x v="8"/>
    <s v="November"/>
    <n v="151"/>
    <x v="248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s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x v="2"/>
    <x v="8"/>
    <s v="November"/>
    <n v="148.19999999999999"/>
    <x v="249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s v="164.2"/>
    <n v="163.9"/>
    <n v="159.30000000000001"/>
    <n v="169.9"/>
    <n v="154.80000000000001"/>
    <n v="159.80000000000001"/>
    <n v="164.3"/>
    <n v="162.19999999999999"/>
    <n v="161.4"/>
    <n v="166.7"/>
  </r>
  <r>
    <x v="0"/>
    <x v="8"/>
    <s v="December"/>
    <n v="147.4"/>
    <x v="205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</r>
  <r>
    <x v="1"/>
    <x v="8"/>
    <s v="December"/>
    <n v="151.6"/>
    <x v="250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s v="163.4"/>
    <n v="161.69999999999999"/>
    <n v="156"/>
    <n v="165.1"/>
    <n v="151.80000000000001"/>
    <n v="157.6"/>
    <n v="160.6"/>
    <n v="162.4"/>
    <n v="157.80000000000001"/>
    <n v="165.2"/>
  </r>
  <r>
    <x v="2"/>
    <x v="8"/>
    <s v="December"/>
    <n v="148.69999999999999"/>
    <x v="251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s v="163.4"/>
    <n v="164.1"/>
    <n v="160.19999999999999"/>
    <n v="170.6"/>
    <n v="155.69999999999999"/>
    <n v="160.6"/>
    <n v="164.4"/>
    <n v="162.6"/>
    <n v="162"/>
    <n v="166.2"/>
  </r>
  <r>
    <x v="0"/>
    <x v="9"/>
    <s v="January"/>
    <n v="148.30000000000001"/>
    <x v="252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</r>
  <r>
    <x v="1"/>
    <x v="9"/>
    <s v="January"/>
    <n v="152.19999999999999"/>
    <x v="244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s v="164.5"/>
    <n v="161.6"/>
    <n v="156.80000000000001"/>
    <n v="166.1"/>
    <n v="152.69999999999999"/>
    <n v="158.4"/>
    <n v="161"/>
    <n v="162.80000000000001"/>
    <n v="158.6"/>
    <n v="165"/>
  </r>
  <r>
    <x v="2"/>
    <x v="9"/>
    <s v="January"/>
    <n v="149.5"/>
    <x v="253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s v="164.5"/>
    <n v="164.2"/>
    <n v="161.1"/>
    <n v="171.4"/>
    <n v="156.5"/>
    <n v="161.19999999999999"/>
    <n v="164.7"/>
    <n v="163"/>
    <n v="162.69999999999999"/>
    <n v="165.7"/>
  </r>
  <r>
    <x v="0"/>
    <x v="9"/>
    <s v="February"/>
    <n v="148.80000000000001"/>
    <x v="254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</r>
  <r>
    <x v="1"/>
    <x v="9"/>
    <s v="February"/>
    <n v="152.5"/>
    <x v="255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s v="165.5"/>
    <n v="163"/>
    <n v="157.4"/>
    <n v="167.2"/>
    <n v="153.1"/>
    <n v="159.5"/>
    <n v="162"/>
    <n v="164.2"/>
    <n v="159.4"/>
    <n v="165.5"/>
  </r>
  <r>
    <x v="2"/>
    <x v="9"/>
    <s v="February"/>
    <n v="150"/>
    <x v="25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s v="165.5"/>
    <n v="165.7"/>
    <n v="161.80000000000001"/>
    <n v="172.2"/>
    <n v="156.9"/>
    <n v="162.1"/>
    <n v="165.4"/>
    <n v="164.4"/>
    <n v="163.5"/>
    <n v="166.1"/>
  </r>
  <r>
    <x v="0"/>
    <x v="9"/>
    <s v="March"/>
    <n v="150.19999999999999"/>
    <x v="257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</r>
  <r>
    <x v="1"/>
    <x v="9"/>
    <s v="March"/>
    <n v="153.69999999999999"/>
    <x v="25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s v="165.3"/>
    <n v="164.5"/>
    <n v="158.6"/>
    <n v="168.2"/>
    <n v="154.19999999999999"/>
    <n v="160.80000000000001"/>
    <n v="162.69999999999999"/>
    <n v="166.8"/>
    <n v="160.6"/>
    <n v="166.5"/>
  </r>
  <r>
    <x v="2"/>
    <x v="9"/>
    <s v="March"/>
    <n v="151.30000000000001"/>
    <x v="259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s v="165.3"/>
    <n v="167.2"/>
    <n v="162.80000000000001"/>
    <n v="173"/>
    <n v="157.9"/>
    <n v="163.30000000000001"/>
    <n v="166"/>
    <n v="167.2"/>
    <n v="164.6"/>
    <n v="167.7"/>
  </r>
  <r>
    <x v="0"/>
    <x v="9"/>
    <s v="April"/>
    <n v="151.80000000000001"/>
    <x v="260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</r>
  <r>
    <x v="1"/>
    <x v="9"/>
    <s v="April"/>
    <n v="155.4"/>
    <x v="25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s v="167"/>
    <n v="170.5"/>
    <n v="159.80000000000001"/>
    <n v="169"/>
    <n v="159.30000000000001"/>
    <n v="162.19999999999999"/>
    <n v="164"/>
    <n v="168.4"/>
    <n v="163.1"/>
    <n v="169.2"/>
  </r>
  <r>
    <x v="2"/>
    <x v="9"/>
    <s v="April"/>
    <n v="152.9"/>
    <x v="261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s v="167"/>
    <n v="172.2"/>
    <n v="164"/>
    <n v="174"/>
    <n v="162.6"/>
    <n v="164.4"/>
    <n v="166.9"/>
    <n v="168.8"/>
    <n v="166.8"/>
    <n v="170.1"/>
  </r>
  <r>
    <x v="0"/>
    <x v="9"/>
    <s v="May"/>
    <n v="152.9"/>
    <x v="262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</r>
  <r>
    <x v="1"/>
    <x v="9"/>
    <s v="May"/>
    <n v="156.69999999999999"/>
    <x v="263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s v="167.5"/>
    <n v="173.5"/>
    <n v="161.1"/>
    <n v="170.1"/>
    <n v="159.4"/>
    <n v="163.19999999999999"/>
    <n v="165.2"/>
    <n v="168.2"/>
    <n v="163.80000000000001"/>
    <n v="170.8"/>
  </r>
  <r>
    <x v="2"/>
    <x v="9"/>
    <s v="May"/>
    <n v="154.1"/>
    <x v="264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s v="167.5"/>
    <n v="174.6"/>
    <n v="165.2"/>
    <n v="174.8"/>
    <n v="163"/>
    <n v="165.1"/>
    <n v="167.9"/>
    <n v="168.4"/>
    <n v="167.5"/>
    <n v="171.7"/>
  </r>
  <r>
    <x v="0"/>
    <x v="9"/>
    <s v="June"/>
    <n v="153.80000000000001"/>
    <x v="265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</r>
  <r>
    <x v="1"/>
    <x v="9"/>
    <s v="June"/>
    <n v="157.5"/>
    <x v="266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s v="166.8"/>
    <n v="174.9"/>
    <n v="162.1"/>
    <n v="170.9"/>
    <n v="157.19999999999999"/>
    <n v="164.1"/>
    <n v="166.5"/>
    <n v="169.2"/>
    <n v="163.80000000000001"/>
    <n v="171.4"/>
  </r>
  <r>
    <x v="2"/>
    <x v="9"/>
    <s v="June"/>
    <n v="155"/>
    <x v="267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s v="166.8"/>
    <n v="176"/>
    <n v="166.4"/>
    <n v="175.4"/>
    <n v="161.1"/>
    <n v="165.8"/>
    <n v="169"/>
    <n v="169.4"/>
    <n v="167.5"/>
    <n v="172.6"/>
  </r>
  <r>
    <x v="0"/>
    <x v="9"/>
    <s v="July"/>
    <n v="155.19999999999999"/>
    <x v="26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</r>
  <r>
    <x v="1"/>
    <x v="9"/>
    <s v="July"/>
    <n v="159.30000000000001"/>
    <x v="269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s v="167.8"/>
    <n v="179.5"/>
    <n v="163.1"/>
    <n v="171.7"/>
    <n v="157.4"/>
    <n v="164.6"/>
    <n v="169.1"/>
    <n v="169.8"/>
    <n v="164.7"/>
    <n v="172.3"/>
  </r>
  <r>
    <x v="2"/>
    <x v="9"/>
    <s v="July"/>
    <n v="156.5"/>
    <x v="270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s v="167.8"/>
    <n v="179.6"/>
    <n v="167.4"/>
    <n v="176.1"/>
    <n v="161.6"/>
    <n v="166.3"/>
    <n v="171.4"/>
    <n v="169.7"/>
    <n v="168.4"/>
    <n v="173.4"/>
  </r>
  <r>
    <x v="0"/>
    <x v="9"/>
    <s v="August"/>
    <n v="159.5"/>
    <x v="27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</r>
  <r>
    <x v="1"/>
    <x v="9"/>
    <s v="August"/>
    <n v="162.1"/>
    <x v="23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s v="169"/>
    <n v="178.4"/>
    <n v="164.2"/>
    <n v="172.6"/>
    <n v="157.69999999999999"/>
    <n v="165.1"/>
    <n v="169.9"/>
    <n v="171.4"/>
    <n v="165.4"/>
    <n v="173.1"/>
  </r>
  <r>
    <x v="2"/>
    <x v="9"/>
    <s v="August"/>
    <n v="160.30000000000001"/>
    <x v="272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s v="169"/>
    <n v="178.8"/>
    <n v="168.5"/>
    <n v="176.8"/>
    <n v="161.9"/>
    <n v="166.9"/>
    <n v="172.3"/>
    <n v="171.2"/>
    <n v="169.1"/>
    <n v="174.3"/>
  </r>
  <r>
    <x v="0"/>
    <x v="9"/>
    <s v="September"/>
    <n v="162.9"/>
    <x v="273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</r>
  <r>
    <x v="1"/>
    <x v="9"/>
    <s v="September"/>
    <n v="164.9"/>
    <x v="274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s v="169.5"/>
    <n v="179.2"/>
    <n v="165"/>
    <n v="173.8"/>
    <n v="158.19999999999999"/>
    <n v="165.8"/>
    <n v="170.9"/>
    <n v="171.1"/>
    <n v="166.1"/>
    <n v="174.1"/>
  </r>
  <r>
    <x v="2"/>
    <x v="9"/>
    <s v="September"/>
    <n v="163.5"/>
    <x v="275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s v="169.5"/>
    <n v="179.5"/>
    <n v="169.5"/>
    <n v="177.8"/>
    <n v="162.30000000000001"/>
    <n v="167.6"/>
    <n v="173.1"/>
    <n v="170.9"/>
    <n v="169.7"/>
    <n v="175.3"/>
  </r>
  <r>
    <x v="0"/>
    <x v="9"/>
    <s v="October"/>
    <n v="164.7"/>
    <x v="276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</r>
  <r>
    <x v="1"/>
    <x v="9"/>
    <s v="October"/>
    <n v="166.4"/>
    <x v="277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s v="171.2"/>
    <n v="180"/>
    <n v="166"/>
    <n v="174.7"/>
    <n v="158.80000000000001"/>
    <n v="166.3"/>
    <n v="171.2"/>
    <n v="172.3"/>
    <n v="166.8"/>
    <n v="175.3"/>
  </r>
  <r>
    <x v="2"/>
    <x v="9"/>
    <s v="October"/>
    <n v="165.2"/>
    <x v="23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s v="171.2"/>
    <n v="180.5"/>
    <n v="170.4"/>
    <n v="178.7"/>
    <n v="162.9"/>
    <n v="168.2"/>
    <n v="173.4"/>
    <n v="172.1"/>
    <n v="170.5"/>
    <n v="176.7"/>
  </r>
  <r>
    <x v="0"/>
    <x v="9"/>
    <s v="November"/>
    <n v="166.9"/>
    <x v="278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</r>
  <r>
    <x v="1"/>
    <x v="9"/>
    <s v="November"/>
    <n v="168.4"/>
    <x v="279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s v="171.8"/>
    <n v="180.3"/>
    <n v="166.9"/>
    <n v="175.8"/>
    <n v="158.9"/>
    <n v="166.7"/>
    <n v="171.5"/>
    <n v="173.8"/>
    <n v="167.4"/>
    <n v="174.1"/>
  </r>
  <r>
    <x v="2"/>
    <x v="9"/>
    <s v="November"/>
    <n v="167.4"/>
    <x v="280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s v="171.8"/>
    <n v="181.3"/>
    <n v="171.4"/>
    <n v="179.8"/>
    <n v="163"/>
    <n v="168.5"/>
    <n v="173.7"/>
    <n v="173.6"/>
    <n v="171.1"/>
    <n v="176.5"/>
  </r>
  <r>
    <x v="0"/>
    <x v="9"/>
    <s v="December"/>
    <n v="168.8"/>
    <x v="281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</r>
  <r>
    <x v="1"/>
    <x v="9"/>
    <s v="December"/>
    <n v="170.2"/>
    <x v="282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s v="170.7"/>
    <n v="180.6"/>
    <n v="167.3"/>
    <n v="177.2"/>
    <n v="159.4"/>
    <n v="167.1"/>
    <n v="171.8"/>
    <n v="176"/>
    <n v="168.2"/>
    <n v="174.1"/>
  </r>
  <r>
    <x v="2"/>
    <x v="9"/>
    <s v="December"/>
    <n v="169.2"/>
    <x v="283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s v="170.7"/>
    <n v="182"/>
    <n v="172.1"/>
    <n v="181.1"/>
    <n v="163.4"/>
    <n v="168.9"/>
    <n v="174.1"/>
    <n v="175.8"/>
    <n v="172"/>
    <n v="175.7"/>
  </r>
  <r>
    <x v="0"/>
    <x v="10"/>
    <s v="January"/>
    <n v="174"/>
    <x v="284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</r>
  <r>
    <x v="1"/>
    <x v="10"/>
    <s v="January"/>
    <n v="173.3"/>
    <x v="285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s v="172.1"/>
    <n v="180.1"/>
    <n v="168"/>
    <n v="178.5"/>
    <n v="159.5"/>
    <n v="167.8"/>
    <n v="171.8"/>
    <n v="178.8"/>
    <n v="168.9"/>
    <n v="174.9"/>
  </r>
  <r>
    <x v="2"/>
    <x v="10"/>
    <s v="January"/>
    <n v="173.8"/>
    <x v="259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s v="172.1"/>
    <n v="182"/>
    <n v="172.9"/>
    <n v="182.3"/>
    <n v="163.6"/>
    <n v="169.5"/>
    <n v="174.3"/>
    <n v="178.6"/>
    <n v="172.8"/>
    <n v="176.5"/>
  </r>
  <r>
    <x v="0"/>
    <x v="10"/>
    <s v="February"/>
    <n v="174.2"/>
    <x v="255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</r>
  <r>
    <x v="1"/>
    <x v="10"/>
    <s v="February"/>
    <n v="174.7"/>
    <x v="286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s v="173.5"/>
    <n v="182.8"/>
    <n v="169.2"/>
    <n v="180.8"/>
    <n v="159.80000000000001"/>
    <n v="168.4"/>
    <n v="172.5"/>
    <n v="181.4"/>
    <n v="170"/>
    <n v="176.3"/>
  </r>
  <r>
    <x v="2"/>
    <x v="10"/>
    <s v="February"/>
    <n v="174.4"/>
    <x v="28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s v="173.5"/>
    <n v="182.1"/>
    <n v="174.2"/>
    <n v="184.4"/>
    <n v="164.2"/>
    <n v="170.3"/>
    <n v="175"/>
    <n v="181"/>
    <n v="174.1"/>
    <n v="177.2"/>
  </r>
  <r>
    <x v="0"/>
    <x v="10"/>
    <s v="March"/>
    <n v="174.3"/>
    <x v="255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</r>
  <r>
    <x v="1"/>
    <x v="10"/>
    <s v="March"/>
    <n v="174.7"/>
    <x v="286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s v="173.5"/>
    <n v="182.6"/>
    <n v="169.2"/>
    <n v="180.8"/>
    <n v="159.80000000000001"/>
    <n v="168.4"/>
    <n v="172.5"/>
    <n v="181.5"/>
    <n v="170"/>
    <n v="176.3"/>
  </r>
  <r>
    <x v="2"/>
    <x v="10"/>
    <s v="March"/>
    <n v="174.4"/>
    <x v="28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s v="173.5"/>
    <n v="181.9"/>
    <n v="174.2"/>
    <n v="184.4"/>
    <n v="164.2"/>
    <n v="170.3"/>
    <n v="175"/>
    <n v="181"/>
    <n v="174.1"/>
    <n v="177.2"/>
  </r>
  <r>
    <x v="0"/>
    <x v="10"/>
    <s v="April"/>
    <n v="173.3"/>
    <x v="281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</r>
  <r>
    <x v="1"/>
    <x v="10"/>
    <s v="April"/>
    <n v="174.8"/>
    <x v="274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s v="175.2"/>
    <n v="182.1"/>
    <n v="169.6"/>
    <n v="181.5"/>
    <n v="160.1"/>
    <n v="168.8"/>
    <n v="174.2"/>
    <n v="184.4"/>
    <n v="170.9"/>
    <n v="177.4"/>
  </r>
  <r>
    <x v="2"/>
    <x v="10"/>
    <s v="April"/>
    <n v="173.8"/>
    <x v="288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s v="175.2"/>
    <n v="181.7"/>
    <n v="174.6"/>
    <n v="185"/>
    <n v="164.5"/>
    <n v="170.7"/>
    <n v="176.4"/>
    <n v="184"/>
    <n v="175"/>
    <n v="178.1"/>
  </r>
  <r>
    <x v="0"/>
    <x v="10"/>
    <s v="May"/>
    <n v="173.2"/>
    <x v="289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</r>
  <r>
    <x v="1"/>
    <x v="10"/>
    <s v="May"/>
    <n v="174.7"/>
    <x v="267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s v="175.6"/>
    <n v="183.4"/>
    <n v="170.1"/>
    <n v="182.2"/>
    <n v="160.4"/>
    <n v="169.2"/>
    <n v="174.8"/>
    <n v="185.6"/>
    <n v="171.6"/>
    <n v="178.2"/>
  </r>
  <r>
    <x v="2"/>
    <x v="10"/>
    <s v="May"/>
    <n v="173.7"/>
    <x v="290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s v="175.6"/>
    <n v="182.8"/>
    <n v="175.2"/>
    <n v="185.7"/>
    <n v="164.8"/>
    <n v="171.2"/>
    <n v="177.1"/>
    <n v="185.2"/>
    <n v="175.7"/>
    <n v="179.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6">
  <r>
    <x v="0"/>
    <s v="January"/>
    <n v="130.30000000000001"/>
    <n v="126.3"/>
    <n v="3.1670625494853638E-2"/>
  </r>
  <r>
    <x v="0"/>
    <s v="February"/>
    <n v="130.6"/>
    <n v="126"/>
    <n v="3.6507936507936462E-2"/>
  </r>
  <r>
    <x v="0"/>
    <s v="March"/>
    <n v="130.9"/>
    <n v="126"/>
    <n v="3.8888888888888931E-2"/>
  </r>
  <r>
    <x v="0"/>
    <s v="April"/>
    <n v="131.1"/>
    <n v="127.3"/>
    <n v="2.9850746268656695E-2"/>
  </r>
  <r>
    <x v="0"/>
    <s v="May"/>
    <n v="131.4"/>
    <n v="128.6"/>
    <n v="2.1772939346811911E-2"/>
  </r>
  <r>
    <x v="0"/>
    <s v="June"/>
    <n v="132"/>
    <n v="130.1"/>
    <n v="1.4604150653343625E-2"/>
  </r>
  <r>
    <x v="0"/>
    <s v="July"/>
    <n v="134.19999999999999"/>
    <n v="131.1"/>
    <n v="2.3646071700991568E-2"/>
  </r>
  <r>
    <x v="0"/>
    <s v="August"/>
    <n v="135.4"/>
    <n v="131.1"/>
    <n v="3.2799389778794902E-2"/>
  </r>
  <r>
    <x v="0"/>
    <s v="September"/>
    <n v="135.19999999999999"/>
    <n v="130.9"/>
    <n v="3.2849503437738597E-2"/>
  </r>
  <r>
    <x v="0"/>
    <s v="October"/>
    <n v="136.1"/>
    <n v="131.4"/>
    <n v="3.5768645357686368E-2"/>
  </r>
  <r>
    <x v="0"/>
    <s v="November"/>
    <n v="137.6"/>
    <n v="131.19999999999999"/>
    <n v="4.8780487804878099E-2"/>
  </r>
  <r>
    <x v="0"/>
    <s v="December"/>
    <n v="137.19999999999999"/>
    <n v="130.4"/>
    <n v="5.2147239263803546E-2"/>
  </r>
  <r>
    <x v="1"/>
    <s v="January"/>
    <n v="136.9"/>
    <n v="130.30000000000001"/>
    <n v="5.0652340752110468E-2"/>
  </r>
  <r>
    <x v="1"/>
    <s v="February"/>
    <n v="136.4"/>
    <n v="130.6"/>
    <n v="4.441041347626349E-2"/>
  </r>
  <r>
    <x v="1"/>
    <s v="March"/>
    <n v="136.5"/>
    <n v="130.9"/>
    <n v="4.278074866310156E-2"/>
  </r>
  <r>
    <x v="1"/>
    <s v="April"/>
    <n v="137.1"/>
    <n v="131.1"/>
    <n v="4.5766590389016024E-2"/>
  </r>
  <r>
    <x v="1"/>
    <s v="May"/>
    <n v="137.80000000000001"/>
    <n v="131.4"/>
    <n v="4.8706240487062444E-2"/>
  </r>
  <r>
    <x v="1"/>
    <s v="June"/>
    <n v="138.5"/>
    <n v="132"/>
    <n v="4.924242424242424E-2"/>
  </r>
  <r>
    <x v="1"/>
    <s v="July"/>
    <n v="139.80000000000001"/>
    <n v="134.19999999999999"/>
    <n v="4.172876304023862E-2"/>
  </r>
  <r>
    <x v="1"/>
    <s v="August"/>
    <n v="140.4"/>
    <n v="135.4"/>
    <n v="3.6927621861152143E-2"/>
  </r>
  <r>
    <x v="1"/>
    <s v="September"/>
    <n v="140.19999999999999"/>
    <n v="135.19999999999999"/>
    <n v="3.6982248520710061E-2"/>
  </r>
  <r>
    <x v="1"/>
    <s v="October"/>
    <n v="140.80000000000001"/>
    <n v="136.1"/>
    <n v="3.4533431300514457E-2"/>
  </r>
  <r>
    <x v="1"/>
    <s v="November"/>
    <n v="140.80000000000001"/>
    <n v="137.6"/>
    <n v="2.3255813953488497E-2"/>
  </r>
  <r>
    <x v="1"/>
    <s v="December"/>
    <n v="140.1"/>
    <n v="137.19999999999999"/>
    <n v="2.1137026239067099E-2"/>
  </r>
  <r>
    <x v="2"/>
    <s v="January"/>
    <n v="139.6"/>
    <n v="136.9"/>
    <n v="1.9722425127830449E-2"/>
  </r>
  <r>
    <x v="2"/>
    <s v="February"/>
    <n v="139.9"/>
    <n v="136.4"/>
    <n v="2.5659824046920819E-2"/>
  </r>
  <r>
    <x v="2"/>
    <s v="March"/>
    <n v="140.4"/>
    <n v="136.5"/>
    <n v="2.8571428571428612E-2"/>
  </r>
  <r>
    <x v="2"/>
    <s v="May"/>
    <n v="142"/>
    <n v="137.1"/>
    <n v="3.5740335521517182E-2"/>
  </r>
  <r>
    <x v="2"/>
    <s v="June"/>
    <n v="142.9"/>
    <n v="137.80000000000001"/>
    <n v="3.7010159651669039E-2"/>
  </r>
  <r>
    <x v="2"/>
    <s v="July"/>
    <n v="144.19999999999999"/>
    <n v="138.5"/>
    <n v="4.115523465703963E-2"/>
  </r>
  <r>
    <x v="2"/>
    <s v="August"/>
    <n v="145"/>
    <n v="139.80000000000001"/>
    <n v="3.7195994277539259E-2"/>
  </r>
  <r>
    <x v="2"/>
    <s v="September"/>
    <n v="145.80000000000001"/>
    <n v="140.4"/>
    <n v="3.8461538461538498E-2"/>
  </r>
  <r>
    <x v="2"/>
    <s v="October"/>
    <n v="147.19999999999999"/>
    <n v="140.19999999999999"/>
    <n v="4.9928673323823114E-2"/>
  </r>
  <r>
    <x v="2"/>
    <s v="November"/>
    <n v="148.6"/>
    <n v="140.80000000000001"/>
    <n v="5.5397727272727147E-2"/>
  </r>
  <r>
    <x v="2"/>
    <s v="December"/>
    <n v="150.4"/>
    <n v="140.80000000000001"/>
    <n v="6.8181818181818135E-2"/>
  </r>
  <r>
    <x v="3"/>
    <s v="January"/>
    <n v="150.19999999999999"/>
    <n v="140.1"/>
    <n v="7.2091363311920023E-2"/>
  </r>
  <r>
    <x v="3"/>
    <s v="February"/>
    <n v="149.1"/>
    <n v="139.6"/>
    <n v="6.8051575931232094E-2"/>
  </r>
  <r>
    <x v="3"/>
    <s v="March"/>
    <n v="148.6"/>
    <n v="139.9"/>
    <n v="6.2187276626161463E-2"/>
  </r>
  <r>
    <x v="3"/>
    <s v="April"/>
    <n v="149.66666666666666"/>
    <n v="140.4"/>
    <n v="6.6001899335232553E-2"/>
  </r>
  <r>
    <x v="3"/>
    <s v="May"/>
    <n v="150.73333333333335"/>
    <n v="142"/>
    <n v="6.1502347417840483E-2"/>
  </r>
  <r>
    <x v="3"/>
    <s v="June"/>
    <n v="151.80000000000001"/>
    <n v="142.9"/>
    <n v="6.2281315605318445E-2"/>
  </r>
  <r>
    <x v="3"/>
    <s v="July"/>
    <n v="151.80000000000001"/>
    <n v="144.19999999999999"/>
    <n v="5.2704576976421801E-2"/>
  </r>
  <r>
    <x v="3"/>
    <s v="August"/>
    <n v="153.9"/>
    <n v="145"/>
    <n v="6.1379310344827624E-2"/>
  </r>
  <r>
    <x v="3"/>
    <s v="September"/>
    <n v="154.69999999999999"/>
    <n v="145.80000000000001"/>
    <n v="6.1042524005486806E-2"/>
  </r>
  <r>
    <x v="3"/>
    <s v="October"/>
    <n v="156.4"/>
    <n v="147.19999999999999"/>
    <n v="6.2500000000000125E-2"/>
  </r>
  <r>
    <x v="3"/>
    <s v="November"/>
    <n v="158.4"/>
    <n v="148.6"/>
    <n v="6.5948855989232918E-2"/>
  </r>
  <r>
    <x v="3"/>
    <s v="December"/>
    <n v="158.9"/>
    <n v="150.4"/>
    <n v="5.6515957446808505E-2"/>
  </r>
  <r>
    <x v="4"/>
    <s v="January"/>
    <n v="157.30000000000001"/>
    <n v="150.19999999999999"/>
    <n v="4.7270306258322389E-2"/>
  </r>
  <r>
    <x v="4"/>
    <s v="February"/>
    <n v="156.6"/>
    <n v="149.1"/>
    <n v="5.030181086519115E-2"/>
  </r>
  <r>
    <x v="4"/>
    <s v="March"/>
    <n v="156.80000000000001"/>
    <n v="148.6"/>
    <n v="5.5181695827725558E-2"/>
  </r>
  <r>
    <x v="4"/>
    <s v="April"/>
    <n v="157.80000000000001"/>
    <n v="149.66666666666666"/>
    <n v="5.4342984409799698E-2"/>
  </r>
  <r>
    <x v="4"/>
    <s v="May"/>
    <n v="160.4"/>
    <n v="150.73333333333335"/>
    <n v="6.4130915524104312E-2"/>
  </r>
  <r>
    <x v="4"/>
    <s v="June"/>
    <n v="161.30000000000001"/>
    <n v="151.80000000000001"/>
    <n v="6.2582345191040833E-2"/>
  </r>
  <r>
    <x v="4"/>
    <s v="July"/>
    <n v="162.5"/>
    <n v="151.80000000000001"/>
    <n v="7.0487483530961709E-2"/>
  </r>
  <r>
    <x v="4"/>
    <s v="August"/>
    <n v="163.19999999999999"/>
    <n v="153.9"/>
    <n v="6.0428849902533999E-2"/>
  </r>
  <r>
    <x v="4"/>
    <s v="September"/>
    <n v="163.19999999999999"/>
    <n v="154.69999999999999"/>
    <n v="5.4945054945054951E-2"/>
  </r>
  <r>
    <x v="4"/>
    <s v="October"/>
    <n v="165.5"/>
    <n v="156.4"/>
    <n v="5.8184143222506354E-2"/>
  </r>
  <r>
    <x v="4"/>
    <s v="November"/>
    <n v="166.7"/>
    <n v="158.4"/>
    <n v="5.2398989898989792E-2"/>
  </r>
  <r>
    <x v="4"/>
    <s v="December"/>
    <n v="166.2"/>
    <n v="158.9"/>
    <n v="4.5940843297671383E-2"/>
  </r>
  <r>
    <x v="5"/>
    <s v="January"/>
    <n v="165.7"/>
    <n v="157.30000000000001"/>
    <n v="5.3401144310235071E-2"/>
  </r>
  <r>
    <x v="5"/>
    <s v="February"/>
    <n v="166.1"/>
    <n v="156.6"/>
    <n v="6.066411238825032E-2"/>
  </r>
  <r>
    <x v="5"/>
    <s v="March"/>
    <n v="167.7"/>
    <n v="156.80000000000001"/>
    <n v="6.9515306122448828E-2"/>
  </r>
  <r>
    <x v="5"/>
    <s v="April"/>
    <n v="170.1"/>
    <n v="157.80000000000001"/>
    <n v="7.7946768060836391E-2"/>
  </r>
  <r>
    <x v="5"/>
    <s v="May"/>
    <n v="171.7"/>
    <n v="160.4"/>
    <n v="7.0448877805486171E-2"/>
  </r>
  <r>
    <x v="5"/>
    <s v="June"/>
    <n v="172.6"/>
    <n v="161.30000000000001"/>
    <n v="7.0055796652200755E-2"/>
  </r>
  <r>
    <x v="5"/>
    <s v="July"/>
    <n v="173.4"/>
    <n v="162.5"/>
    <n v="6.7076923076923117E-2"/>
  </r>
  <r>
    <x v="5"/>
    <s v="August"/>
    <n v="174.3"/>
    <n v="163.19999999999999"/>
    <n v="6.8014705882353088E-2"/>
  </r>
  <r>
    <x v="5"/>
    <s v="September"/>
    <n v="175.3"/>
    <n v="163.19999999999999"/>
    <n v="7.4142156862745237E-2"/>
  </r>
  <r>
    <x v="5"/>
    <s v="October"/>
    <n v="176.7"/>
    <n v="165.5"/>
    <n v="6.7673716012084523E-2"/>
  </r>
  <r>
    <x v="5"/>
    <s v="November"/>
    <n v="176.5"/>
    <n v="166.7"/>
    <n v="5.8788242351529768E-2"/>
  </r>
  <r>
    <x v="5"/>
    <s v="December"/>
    <n v="175.7"/>
    <n v="166.2"/>
    <n v="5.7160048134777382E-2"/>
  </r>
  <r>
    <x v="6"/>
    <s v="January"/>
    <n v="176.5"/>
    <n v="165.7"/>
    <n v="6.5178032589016374E-2"/>
  </r>
  <r>
    <x v="6"/>
    <s v="February"/>
    <n v="177.2"/>
    <n v="166.1"/>
    <n v="6.6827212522576729E-2"/>
  </r>
  <r>
    <x v="6"/>
    <s v="March"/>
    <n v="177.2"/>
    <n v="167.7"/>
    <n v="5.6648777579010143E-2"/>
  </r>
  <r>
    <x v="6"/>
    <s v="April"/>
    <n v="178.1"/>
    <n v="170.1"/>
    <n v="4.7031158142269255E-2"/>
  </r>
  <r>
    <x v="6"/>
    <s v="May"/>
    <n v="179.1"/>
    <n v="171.7"/>
    <n v="4.309842748980784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1">
  <location ref="G6:H13" firstHeaderRow="1" firstDataRow="1" firstDataCol="1"/>
  <pivotFields count="5"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numFmtId="1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YOY Inflation %" fld="4" subtotal="average" baseField="0" baseItem="2" numFmtId="10"/>
  </dataFields>
  <formats count="3"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F15" firstHeaderRow="1" firstDataRow="2" firstDataCol="1"/>
  <pivotFields count="30">
    <pivotField axis="axisCol" showAll="0">
      <items count="4">
        <item x="0"/>
        <item x="2"/>
        <item x="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>
      <items count="292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General index" fld="2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1">
    <queryTableFields count="30">
      <queryTableField id="1" name="Sector" tableColumnId="61"/>
      <queryTableField id="2" name="Year" tableColumnId="62"/>
      <queryTableField id="3" name="Month" tableColumnId="63"/>
      <queryTableField id="4" name="Cereals and products" tableColumnId="64"/>
      <queryTableField id="5" name="Meat and fish" tableColumnId="65"/>
      <queryTableField id="6" name="Egg" tableColumnId="66"/>
      <queryTableField id="7" name="Milk and products" tableColumnId="67"/>
      <queryTableField id="8" name="Oils and fats" tableColumnId="68"/>
      <queryTableField id="9" name="Fruits" tableColumnId="69"/>
      <queryTableField id="10" name="Vegetables" tableColumnId="70"/>
      <queryTableField id="11" name="Pulses and products" tableColumnId="71"/>
      <queryTableField id="12" name="Sugar and Confectionery" tableColumnId="72"/>
      <queryTableField id="13" name="Spices" tableColumnId="73"/>
      <queryTableField id="14" name="Non-alcoholic beverages" tableColumnId="74"/>
      <queryTableField id="15" name="Prepared meals, snacks, sweets etc." tableColumnId="75"/>
      <queryTableField id="16" name="Food and beverages" tableColumnId="76"/>
      <queryTableField id="17" name="Pan, tobacco and intoxicants" tableColumnId="77"/>
      <queryTableField id="18" name="Clothing" tableColumnId="78"/>
      <queryTableField id="19" name="Footwear" tableColumnId="79"/>
      <queryTableField id="20" name="Clothing and footwear" tableColumnId="80"/>
      <queryTableField id="21" name="Housing" tableColumnId="81"/>
      <queryTableField id="22" name="Fuel and light" tableColumnId="82"/>
      <queryTableField id="23" name="Household goods and services" tableColumnId="83"/>
      <queryTableField id="24" name="Health" tableColumnId="84"/>
      <queryTableField id="25" name="Transport and communication" tableColumnId="85"/>
      <queryTableField id="26" name="Recreation and amusement" tableColumnId="86"/>
      <queryTableField id="27" name="Education" tableColumnId="87"/>
      <queryTableField id="28" name="Personal care and effects" tableColumnId="88"/>
      <queryTableField id="29" name="Miscellaneous" tableColumnId="89"/>
      <queryTableField id="30" name="General index" tableColumnId="9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Data" displayName="Data" ref="A1:AD373" totalsRowShown="0">
  <autoFilter ref="A1:AD373">
    <filterColumn colId="0">
      <filters>
        <filter val="Rural+Urban"/>
      </filters>
    </filterColumn>
    <filterColumn colId="1">
      <filters>
        <filter val="2020"/>
      </filters>
    </filterColumn>
  </autoFilter>
  <tableColumns count="30">
    <tableColumn id="1" name="Sector"/>
    <tableColumn id="2" name="Year"/>
    <tableColumn id="3" name="Month"/>
    <tableColumn id="4" name="Cereals and products"/>
    <tableColumn id="5" name="Meat and fish"/>
    <tableColumn id="6" name="Egg"/>
    <tableColumn id="7" name="Milk and products"/>
    <tableColumn id="8" name="Oils and fats"/>
    <tableColumn id="9" name="Fruits"/>
    <tableColumn id="10" name="Vegetables"/>
    <tableColumn id="11" name="Pulses and products"/>
    <tableColumn id="12" name="Sugar and Confectionery"/>
    <tableColumn id="13" name="Spices"/>
    <tableColumn id="14" name="Non-alcoholic beverages"/>
    <tableColumn id="15" name="Prepared meals, snacks, sweets etc."/>
    <tableColumn id="16" name="Food and beverages"/>
    <tableColumn id="17" name="Pan, tobacco and intoxicants"/>
    <tableColumn id="18" name="Clothing"/>
    <tableColumn id="19" name="Footwear"/>
    <tableColumn id="20" name="Clothing and footwear"/>
    <tableColumn id="21" name="Housing" dataDxfId="0"/>
    <tableColumn id="22" name="Fuel and light"/>
    <tableColumn id="23" name="Household goods and services"/>
    <tableColumn id="24" name="Health"/>
    <tableColumn id="25" name="Transport and communication"/>
    <tableColumn id="26" name="Recreation and amusement"/>
    <tableColumn id="27" name="Education"/>
    <tableColumn id="28" name="Personal care and effects"/>
    <tableColumn id="29" name="Miscellaneous"/>
    <tableColumn id="30" name="General 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All_India_Index_Upto_April23__1___1" displayName="All_India_Index_Upto_April23__1___1" ref="A1:AD373" tableType="queryTable" totalsRowShown="0">
  <autoFilter ref="A1:AD373"/>
  <tableColumns count="30">
    <tableColumn id="61" uniqueName="61" name="Sector" queryTableFieldId="1"/>
    <tableColumn id="62" uniqueName="62" name="Year" queryTableFieldId="2"/>
    <tableColumn id="63" uniqueName="63" name="Month" queryTableFieldId="3"/>
    <tableColumn id="64" uniqueName="64" name="Cereals and products" queryTableFieldId="4"/>
    <tableColumn id="65" uniqueName="65" name="Meat and fish" queryTableFieldId="5"/>
    <tableColumn id="66" uniqueName="66" name="Egg" queryTableFieldId="6"/>
    <tableColumn id="67" uniqueName="67" name="Milk and products" queryTableFieldId="7"/>
    <tableColumn id="68" uniqueName="68" name="Oils and fats" queryTableFieldId="8"/>
    <tableColumn id="69" uniqueName="69" name="Fruits" queryTableFieldId="9"/>
    <tableColumn id="70" uniqueName="70" name="Vegetables" queryTableFieldId="10"/>
    <tableColumn id="71" uniqueName="71" name="Pulses and products" queryTableFieldId="11"/>
    <tableColumn id="72" uniqueName="72" name="Sugar and Confectionery" queryTableFieldId="12"/>
    <tableColumn id="73" uniqueName="73" name="Spices" queryTableFieldId="13"/>
    <tableColumn id="74" uniqueName="74" name="Non-alcoholic beverages" queryTableFieldId="14"/>
    <tableColumn id="75" uniqueName="75" name="Prepared meals, snacks, sweets etc." queryTableFieldId="15"/>
    <tableColumn id="76" uniqueName="76" name="Food and beverages" queryTableFieldId="16"/>
    <tableColumn id="77" uniqueName="77" name="Pan, tobacco and intoxicants" queryTableFieldId="17"/>
    <tableColumn id="78" uniqueName="78" name="Clothing" queryTableFieldId="18"/>
    <tableColumn id="79" uniqueName="79" name="Footwear" queryTableFieldId="19"/>
    <tableColumn id="80" uniqueName="80" name="Clothing and footwear" queryTableFieldId="20"/>
    <tableColumn id="81" uniqueName="81" name="Housing" queryTableFieldId="21"/>
    <tableColumn id="82" uniqueName="82" name="Fuel and light" queryTableFieldId="22"/>
    <tableColumn id="83" uniqueName="83" name="Household goods and services" queryTableFieldId="23"/>
    <tableColumn id="84" uniqueName="84" name="Health" queryTableFieldId="24"/>
    <tableColumn id="85" uniqueName="85" name="Transport and communication" queryTableFieldId="25"/>
    <tableColumn id="86" uniqueName="86" name="Recreation and amusement" queryTableFieldId="26"/>
    <tableColumn id="87" uniqueName="87" name="Education" queryTableFieldId="27"/>
    <tableColumn id="88" uniqueName="88" name="Personal care and effects" queryTableFieldId="28"/>
    <tableColumn id="89" uniqueName="89" name="Miscellaneous" queryTableFieldId="29"/>
    <tableColumn id="90" uniqueName="90" name="General index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workbookViewId="0">
      <selection activeCell="E2" sqref="E2"/>
    </sheetView>
  </sheetViews>
  <sheetFormatPr defaultRowHeight="21" x14ac:dyDescent="0.4"/>
  <cols>
    <col min="3" max="3" width="23.7109375" customWidth="1"/>
    <col min="4" max="4" width="20" customWidth="1"/>
    <col min="9" max="9" width="23.5" bestFit="1" customWidth="1"/>
    <col min="10" max="10" width="18.28515625" bestFit="1" customWidth="1"/>
    <col min="11" max="11" width="31.5703125" bestFit="1" customWidth="1"/>
    <col min="12" max="12" width="18.5703125" bestFit="1" customWidth="1"/>
    <col min="14" max="14" width="32.5703125" customWidth="1"/>
    <col min="15" max="15" width="12.0703125" customWidth="1"/>
  </cols>
  <sheetData>
    <row r="1" spans="1:15" x14ac:dyDescent="0.4">
      <c r="A1" s="28" t="s">
        <v>205</v>
      </c>
      <c r="B1" s="28"/>
    </row>
    <row r="2" spans="1:15" x14ac:dyDescent="0.4">
      <c r="A2" s="31" t="s">
        <v>222</v>
      </c>
      <c r="B2" s="31"/>
      <c r="C2" s="32"/>
      <c r="D2" s="32"/>
    </row>
    <row r="3" spans="1:15" x14ac:dyDescent="0.4">
      <c r="A3" s="30"/>
      <c r="B3" s="30"/>
    </row>
    <row r="4" spans="1:15" x14ac:dyDescent="0.4">
      <c r="A4" s="14" t="s">
        <v>1</v>
      </c>
      <c r="B4" s="14" t="s">
        <v>2</v>
      </c>
      <c r="C4" s="14" t="s">
        <v>207</v>
      </c>
      <c r="D4" s="14" t="s">
        <v>219</v>
      </c>
      <c r="E4" s="14" t="s">
        <v>15</v>
      </c>
      <c r="F4" s="14" t="s">
        <v>21</v>
      </c>
      <c r="G4" s="14" t="s">
        <v>24</v>
      </c>
      <c r="H4" s="14" t="s">
        <v>29</v>
      </c>
      <c r="I4" s="14" t="s">
        <v>198</v>
      </c>
      <c r="J4" s="14" t="s">
        <v>220</v>
      </c>
      <c r="K4" s="14" t="s">
        <v>200</v>
      </c>
      <c r="L4" s="14" t="s">
        <v>201</v>
      </c>
      <c r="N4" s="40" t="s">
        <v>221</v>
      </c>
      <c r="O4" s="40"/>
    </row>
    <row r="5" spans="1:15" x14ac:dyDescent="0.4">
      <c r="A5" s="7">
        <v>2020</v>
      </c>
      <c r="B5" s="7" t="s">
        <v>208</v>
      </c>
      <c r="C5" s="7">
        <v>49.9</v>
      </c>
      <c r="D5" s="7"/>
      <c r="E5" s="16">
        <v>165.4</v>
      </c>
      <c r="F5" s="16">
        <v>144.6</v>
      </c>
      <c r="G5" s="16">
        <v>140.69999999999999</v>
      </c>
      <c r="H5" s="16">
        <v>158.9</v>
      </c>
      <c r="I5" s="7"/>
      <c r="J5" s="7"/>
      <c r="K5" s="7"/>
      <c r="L5" s="7"/>
      <c r="N5" s="7" t="s">
        <v>198</v>
      </c>
      <c r="O5" s="29">
        <f>CORREL(D6:D34,I6:I34)</f>
        <v>-3.4779428787745752E-2</v>
      </c>
    </row>
    <row r="6" spans="1:15" x14ac:dyDescent="0.4">
      <c r="A6" s="7">
        <v>2021</v>
      </c>
      <c r="B6" s="7" t="s">
        <v>209</v>
      </c>
      <c r="C6" s="7">
        <v>54.6</v>
      </c>
      <c r="D6" s="8">
        <f>(C6-C5)/C5</f>
        <v>9.418837675350708E-2</v>
      </c>
      <c r="E6" s="7">
        <v>161</v>
      </c>
      <c r="F6" s="7">
        <v>147.9</v>
      </c>
      <c r="G6" s="7">
        <v>141.9</v>
      </c>
      <c r="H6" s="7">
        <v>157.30000000000001</v>
      </c>
      <c r="I6" s="8">
        <f>(E6-E5)/E5</f>
        <v>-2.6602176541717083E-2</v>
      </c>
      <c r="J6" s="8">
        <f>(F6-F5)/F5</f>
        <v>2.2821576763485556E-2</v>
      </c>
      <c r="K6" s="8">
        <f>(G6-G5)/G5</f>
        <v>8.5287846481877545E-3</v>
      </c>
      <c r="L6" s="8">
        <f>(H6-H5)/H5</f>
        <v>-1.006922592825673E-2</v>
      </c>
      <c r="N6" s="7" t="s">
        <v>220</v>
      </c>
      <c r="O6" s="29">
        <f>CORREL(D6:D34,J6:J34)</f>
        <v>0.17414846568497247</v>
      </c>
    </row>
    <row r="7" spans="1:15" x14ac:dyDescent="0.4">
      <c r="A7" s="7">
        <v>2021</v>
      </c>
      <c r="B7" s="7" t="s">
        <v>210</v>
      </c>
      <c r="C7" s="7">
        <v>62</v>
      </c>
      <c r="D7" s="8">
        <f t="shared" ref="D7:D34" si="0">(C7-C6)/C6</f>
        <v>0.13553113553113549</v>
      </c>
      <c r="E7" s="7">
        <v>156.9</v>
      </c>
      <c r="F7" s="7">
        <v>152.4</v>
      </c>
      <c r="G7" s="7">
        <v>145.1</v>
      </c>
      <c r="H7" s="7">
        <v>156.6</v>
      </c>
      <c r="I7" s="8">
        <f t="shared" ref="I7:I34" si="1">(E7-E6)/E6</f>
        <v>-2.5465838509316736E-2</v>
      </c>
      <c r="J7" s="8">
        <f t="shared" ref="J7:J34" si="2">(F7-F6)/F6</f>
        <v>3.0425963488843813E-2</v>
      </c>
      <c r="K7" s="8">
        <f t="shared" ref="K7:K34" si="3">(G7-G6)/G6</f>
        <v>2.2551092318534097E-2</v>
      </c>
      <c r="L7" s="8">
        <f t="shared" ref="L7:L34" si="4">(H7-H6)/H6</f>
        <v>-4.4500953591863762E-3</v>
      </c>
      <c r="N7" s="7" t="s">
        <v>200</v>
      </c>
      <c r="O7" s="29">
        <f>CORREL(D6:D34,K6:K34)</f>
        <v>0.12284563775162115</v>
      </c>
    </row>
    <row r="8" spans="1:15" x14ac:dyDescent="0.4">
      <c r="A8" s="7">
        <v>2021</v>
      </c>
      <c r="B8" s="7" t="s">
        <v>211</v>
      </c>
      <c r="C8" s="7">
        <v>65.2</v>
      </c>
      <c r="D8" s="8">
        <f t="shared" si="0"/>
        <v>5.16129032258065E-2</v>
      </c>
      <c r="E8" s="7">
        <v>156.69999999999999</v>
      </c>
      <c r="F8" s="7">
        <v>155.5</v>
      </c>
      <c r="G8" s="7">
        <v>146.19999999999999</v>
      </c>
      <c r="H8" s="7">
        <v>156.80000000000001</v>
      </c>
      <c r="I8" s="8">
        <f t="shared" si="1"/>
        <v>-1.2746972594010009E-3</v>
      </c>
      <c r="J8" s="8">
        <f t="shared" si="2"/>
        <v>2.0341207349081326E-2</v>
      </c>
      <c r="K8" s="8">
        <f t="shared" si="3"/>
        <v>7.5809786354238068E-3</v>
      </c>
      <c r="L8" s="8">
        <f t="shared" si="4"/>
        <v>1.2771392081737999E-3</v>
      </c>
      <c r="N8" s="7" t="s">
        <v>201</v>
      </c>
      <c r="O8" s="29">
        <f>CORREL(D6:D34,L6:L34)</f>
        <v>-2.3179866276353761E-3</v>
      </c>
    </row>
    <row r="9" spans="1:15" x14ac:dyDescent="0.4">
      <c r="A9" s="7">
        <v>2021</v>
      </c>
      <c r="B9" s="7" t="s">
        <v>212</v>
      </c>
      <c r="C9" s="7">
        <v>64.8</v>
      </c>
      <c r="D9" s="8">
        <f t="shared" si="0"/>
        <v>-6.1349693251534611E-3</v>
      </c>
      <c r="E9" s="7">
        <v>158</v>
      </c>
      <c r="F9" s="7">
        <v>155.6</v>
      </c>
      <c r="G9" s="7">
        <v>146.6</v>
      </c>
      <c r="H9" s="7">
        <v>157.80000000000001</v>
      </c>
      <c r="I9" s="8">
        <f t="shared" si="1"/>
        <v>8.2961072112317253E-3</v>
      </c>
      <c r="J9" s="8">
        <f t="shared" si="2"/>
        <v>6.4308681672022071E-4</v>
      </c>
      <c r="K9" s="8">
        <f t="shared" si="3"/>
        <v>2.7359781121751416E-3</v>
      </c>
      <c r="L9" s="8">
        <f t="shared" si="4"/>
        <v>6.3775510204081625E-3</v>
      </c>
    </row>
    <row r="10" spans="1:15" x14ac:dyDescent="0.4">
      <c r="A10" s="7">
        <v>2021</v>
      </c>
      <c r="B10" s="7" t="s">
        <v>41</v>
      </c>
      <c r="C10" s="7">
        <v>68</v>
      </c>
      <c r="D10" s="8">
        <f t="shared" si="0"/>
        <v>4.9382716049382762E-2</v>
      </c>
      <c r="E10" s="7">
        <v>160.69999999999999</v>
      </c>
      <c r="F10" s="7">
        <v>159.4</v>
      </c>
      <c r="G10" s="7">
        <v>148.9</v>
      </c>
      <c r="H10" s="7">
        <v>160.4</v>
      </c>
      <c r="I10" s="8">
        <f t="shared" si="1"/>
        <v>1.7088607594936637E-2</v>
      </c>
      <c r="J10" s="8">
        <f t="shared" si="2"/>
        <v>2.4421593830334265E-2</v>
      </c>
      <c r="K10" s="8">
        <f t="shared" si="3"/>
        <v>1.568894952251031E-2</v>
      </c>
      <c r="L10" s="8">
        <f t="shared" si="4"/>
        <v>1.6476552598225565E-2</v>
      </c>
    </row>
    <row r="11" spans="1:15" x14ac:dyDescent="0.4">
      <c r="A11" s="7">
        <v>2021</v>
      </c>
      <c r="B11" s="7" t="s">
        <v>213</v>
      </c>
      <c r="C11" s="7">
        <v>73.099999999999994</v>
      </c>
      <c r="D11" s="8">
        <f t="shared" si="0"/>
        <v>7.4999999999999914E-2</v>
      </c>
      <c r="E11" s="7">
        <v>162.6</v>
      </c>
      <c r="F11" s="7">
        <v>159.80000000000001</v>
      </c>
      <c r="G11" s="7">
        <v>150.69999999999999</v>
      </c>
      <c r="H11" s="7">
        <v>161.30000000000001</v>
      </c>
      <c r="I11" s="8">
        <f t="shared" si="1"/>
        <v>1.1823273179838244E-2</v>
      </c>
      <c r="J11" s="8">
        <f t="shared" si="2"/>
        <v>2.5094102885822186E-3</v>
      </c>
      <c r="K11" s="8">
        <f t="shared" si="3"/>
        <v>1.2088650100738636E-2</v>
      </c>
      <c r="L11" s="8">
        <f t="shared" si="4"/>
        <v>5.6109725685785893E-3</v>
      </c>
    </row>
    <row r="12" spans="1:15" x14ac:dyDescent="0.4">
      <c r="A12" s="7">
        <v>2021</v>
      </c>
      <c r="B12" s="7" t="s">
        <v>214</v>
      </c>
      <c r="C12" s="7">
        <v>74.400000000000006</v>
      </c>
      <c r="D12" s="8">
        <f t="shared" si="0"/>
        <v>1.7783857729138323E-2</v>
      </c>
      <c r="E12" s="7">
        <v>164</v>
      </c>
      <c r="F12" s="7">
        <v>160.69999999999999</v>
      </c>
      <c r="G12" s="7">
        <v>153.1</v>
      </c>
      <c r="H12" s="7">
        <v>162.5</v>
      </c>
      <c r="I12" s="8">
        <f t="shared" si="1"/>
        <v>8.6100861008610446E-3</v>
      </c>
      <c r="J12" s="8">
        <f t="shared" si="2"/>
        <v>5.6320400500624356E-3</v>
      </c>
      <c r="K12" s="8">
        <f t="shared" si="3"/>
        <v>1.5925680159256841E-2</v>
      </c>
      <c r="L12" s="8">
        <f t="shared" si="4"/>
        <v>7.439553626782322E-3</v>
      </c>
    </row>
    <row r="13" spans="1:15" x14ac:dyDescent="0.4">
      <c r="A13" s="7">
        <v>2021</v>
      </c>
      <c r="B13" s="7" t="s">
        <v>215</v>
      </c>
      <c r="C13" s="7">
        <v>70</v>
      </c>
      <c r="D13" s="8">
        <f t="shared" si="0"/>
        <v>-5.9139784946236632E-2</v>
      </c>
      <c r="E13" s="7">
        <v>164</v>
      </c>
      <c r="F13" s="7">
        <v>162.6</v>
      </c>
      <c r="G13" s="7">
        <v>154</v>
      </c>
      <c r="H13" s="7">
        <v>163.19999999999999</v>
      </c>
      <c r="I13" s="8">
        <f t="shared" si="1"/>
        <v>0</v>
      </c>
      <c r="J13" s="8">
        <f t="shared" si="2"/>
        <v>1.1823273179838244E-2</v>
      </c>
      <c r="K13" s="8">
        <f t="shared" si="3"/>
        <v>5.8785107772697954E-3</v>
      </c>
      <c r="L13" s="8">
        <f t="shared" si="4"/>
        <v>4.3076923076922381E-3</v>
      </c>
    </row>
    <row r="14" spans="1:15" x14ac:dyDescent="0.4">
      <c r="A14" s="7">
        <v>2021</v>
      </c>
      <c r="B14" s="7" t="s">
        <v>216</v>
      </c>
      <c r="C14" s="7">
        <v>74.599999999999994</v>
      </c>
      <c r="D14" s="8">
        <f t="shared" si="0"/>
        <v>6.5714285714285628E-2</v>
      </c>
      <c r="E14" s="7">
        <v>164</v>
      </c>
      <c r="F14" s="7">
        <v>162.6</v>
      </c>
      <c r="G14" s="7">
        <v>154</v>
      </c>
      <c r="H14" s="7">
        <v>163.19999999999999</v>
      </c>
      <c r="I14" s="8">
        <f t="shared" si="1"/>
        <v>0</v>
      </c>
      <c r="J14" s="8">
        <f t="shared" si="2"/>
        <v>0</v>
      </c>
      <c r="K14" s="8">
        <f t="shared" si="3"/>
        <v>0</v>
      </c>
      <c r="L14" s="8">
        <f t="shared" si="4"/>
        <v>0</v>
      </c>
    </row>
    <row r="15" spans="1:15" x14ac:dyDescent="0.4">
      <c r="A15" s="7">
        <v>2021</v>
      </c>
      <c r="B15" s="7" t="s">
        <v>217</v>
      </c>
      <c r="C15" s="7">
        <v>83.7</v>
      </c>
      <c r="D15" s="8">
        <f t="shared" si="0"/>
        <v>0.1219839142091154</v>
      </c>
      <c r="E15" s="7">
        <v>167.7</v>
      </c>
      <c r="F15" s="7">
        <v>164.2</v>
      </c>
      <c r="G15" s="7">
        <v>155.69999999999999</v>
      </c>
      <c r="H15" s="7">
        <v>165.5</v>
      </c>
      <c r="I15" s="8">
        <f t="shared" si="1"/>
        <v>2.2560975609756027E-2</v>
      </c>
      <c r="J15" s="8">
        <f t="shared" si="2"/>
        <v>9.8400984009839754E-3</v>
      </c>
      <c r="K15" s="8">
        <f t="shared" si="3"/>
        <v>1.1038961038960965E-2</v>
      </c>
      <c r="L15" s="8">
        <f t="shared" si="4"/>
        <v>1.4093137254902032E-2</v>
      </c>
    </row>
    <row r="16" spans="1:15" x14ac:dyDescent="0.4">
      <c r="A16" s="7">
        <v>2021</v>
      </c>
      <c r="B16" s="7" t="s">
        <v>218</v>
      </c>
      <c r="C16" s="7">
        <v>80.8</v>
      </c>
      <c r="D16" s="8">
        <f t="shared" si="0"/>
        <v>-3.4647550776583103E-2</v>
      </c>
      <c r="E16" s="7">
        <v>169.7</v>
      </c>
      <c r="F16" s="7">
        <v>163.9</v>
      </c>
      <c r="G16" s="7">
        <v>154.80000000000001</v>
      </c>
      <c r="H16" s="7">
        <v>166.7</v>
      </c>
      <c r="I16" s="8">
        <f t="shared" si="1"/>
        <v>1.1926058437686345E-2</v>
      </c>
      <c r="J16" s="8">
        <f t="shared" si="2"/>
        <v>-1.8270401948841837E-3</v>
      </c>
      <c r="K16" s="8">
        <f t="shared" si="3"/>
        <v>-5.7803468208091026E-3</v>
      </c>
      <c r="L16" s="8">
        <f t="shared" si="4"/>
        <v>7.2507552870089949E-3</v>
      </c>
    </row>
    <row r="17" spans="1:12" x14ac:dyDescent="0.4">
      <c r="A17" s="7">
        <v>2021</v>
      </c>
      <c r="B17" s="7" t="s">
        <v>208</v>
      </c>
      <c r="C17" s="7">
        <v>74.3</v>
      </c>
      <c r="D17" s="8">
        <f t="shared" si="0"/>
        <v>-8.0445544554455448E-2</v>
      </c>
      <c r="E17" s="7">
        <v>168.2</v>
      </c>
      <c r="F17" s="7">
        <v>164.1</v>
      </c>
      <c r="G17" s="7">
        <v>155.69999999999999</v>
      </c>
      <c r="H17" s="7">
        <v>166.2</v>
      </c>
      <c r="I17" s="8">
        <f t="shared" si="1"/>
        <v>-8.8391278727165592E-3</v>
      </c>
      <c r="J17" s="8">
        <f t="shared" si="2"/>
        <v>1.2202562538132314E-3</v>
      </c>
      <c r="K17" s="8">
        <f t="shared" si="3"/>
        <v>5.8139534883719455E-3</v>
      </c>
      <c r="L17" s="8">
        <f t="shared" si="4"/>
        <v>-2.999400119976005E-3</v>
      </c>
    </row>
    <row r="18" spans="1:12" x14ac:dyDescent="0.4">
      <c r="A18" s="7">
        <v>2022</v>
      </c>
      <c r="B18" s="7" t="s">
        <v>209</v>
      </c>
      <c r="C18" s="7">
        <v>85.5</v>
      </c>
      <c r="D18" s="8">
        <f t="shared" si="0"/>
        <v>0.15074024226110369</v>
      </c>
      <c r="E18" s="7">
        <v>166.4</v>
      </c>
      <c r="F18" s="7">
        <v>164.2</v>
      </c>
      <c r="G18" s="7">
        <v>156.5</v>
      </c>
      <c r="H18" s="7">
        <v>165.7</v>
      </c>
      <c r="I18" s="8">
        <f t="shared" si="1"/>
        <v>-1.070154577883462E-2</v>
      </c>
      <c r="J18" s="8">
        <f t="shared" si="2"/>
        <v>6.0938452163311586E-4</v>
      </c>
      <c r="K18" s="8">
        <f t="shared" si="3"/>
        <v>5.1380860629416276E-3</v>
      </c>
      <c r="L18" s="8">
        <f t="shared" si="4"/>
        <v>-3.0084235860409147E-3</v>
      </c>
    </row>
    <row r="19" spans="1:12" x14ac:dyDescent="0.4">
      <c r="A19" s="7">
        <v>2022</v>
      </c>
      <c r="B19" s="7" t="s">
        <v>210</v>
      </c>
      <c r="C19" s="7">
        <v>95.8</v>
      </c>
      <c r="D19" s="8">
        <f t="shared" si="0"/>
        <v>0.1204678362573099</v>
      </c>
      <c r="E19" s="7">
        <v>166.2</v>
      </c>
      <c r="F19" s="7">
        <v>165.7</v>
      </c>
      <c r="G19" s="7">
        <v>156.9</v>
      </c>
      <c r="H19" s="7">
        <v>166.1</v>
      </c>
      <c r="I19" s="8">
        <f t="shared" si="1"/>
        <v>-1.2019230769231793E-3</v>
      </c>
      <c r="J19" s="8">
        <f t="shared" si="2"/>
        <v>9.1352009744214372E-3</v>
      </c>
      <c r="K19" s="8">
        <f t="shared" si="3"/>
        <v>2.5559105431310269E-3</v>
      </c>
      <c r="L19" s="8">
        <f t="shared" si="4"/>
        <v>2.4140012070006378E-3</v>
      </c>
    </row>
    <row r="20" spans="1:12" x14ac:dyDescent="0.4">
      <c r="A20" s="7">
        <v>2022</v>
      </c>
      <c r="B20" s="7" t="s">
        <v>211</v>
      </c>
      <c r="C20" s="7">
        <v>115.6</v>
      </c>
      <c r="D20" s="8">
        <f t="shared" si="0"/>
        <v>0.20668058455114821</v>
      </c>
      <c r="E20" s="7">
        <v>168.4</v>
      </c>
      <c r="F20" s="7">
        <v>167.2</v>
      </c>
      <c r="G20" s="7">
        <v>157.9</v>
      </c>
      <c r="H20" s="7">
        <v>167.7</v>
      </c>
      <c r="I20" s="8">
        <f t="shared" si="1"/>
        <v>1.3237063778580128E-2</v>
      </c>
      <c r="J20" s="8">
        <f t="shared" si="2"/>
        <v>9.0525045262522634E-3</v>
      </c>
      <c r="K20" s="8">
        <f t="shared" si="3"/>
        <v>6.3734862970044612E-3</v>
      </c>
      <c r="L20" s="8">
        <f t="shared" si="4"/>
        <v>9.6327513546056245E-3</v>
      </c>
    </row>
    <row r="21" spans="1:12" x14ac:dyDescent="0.4">
      <c r="A21" s="7">
        <v>2022</v>
      </c>
      <c r="B21" s="7" t="s">
        <v>212</v>
      </c>
      <c r="C21" s="7">
        <v>105.8</v>
      </c>
      <c r="D21" s="8">
        <f t="shared" si="0"/>
        <v>-8.4775086505190292E-2</v>
      </c>
      <c r="E21" s="7">
        <v>170.8</v>
      </c>
      <c r="F21" s="7">
        <v>172.2</v>
      </c>
      <c r="G21" s="7">
        <v>162.6</v>
      </c>
      <c r="H21" s="7">
        <v>170.1</v>
      </c>
      <c r="I21" s="8">
        <f t="shared" si="1"/>
        <v>1.4251781472684119E-2</v>
      </c>
      <c r="J21" s="8">
        <f t="shared" si="2"/>
        <v>2.9904306220095697E-2</v>
      </c>
      <c r="K21" s="8">
        <f t="shared" si="3"/>
        <v>2.9765674477517344E-2</v>
      </c>
      <c r="L21" s="8">
        <f t="shared" si="4"/>
        <v>1.4311270125223648E-2</v>
      </c>
    </row>
    <row r="22" spans="1:12" x14ac:dyDescent="0.4">
      <c r="A22" s="7">
        <v>2022</v>
      </c>
      <c r="B22" s="7" t="s">
        <v>41</v>
      </c>
      <c r="C22" s="7">
        <v>112.4</v>
      </c>
      <c r="D22" s="8">
        <f t="shared" si="0"/>
        <v>6.2381852551984959E-2</v>
      </c>
      <c r="E22" s="7">
        <v>173.3</v>
      </c>
      <c r="F22" s="7">
        <v>174.6</v>
      </c>
      <c r="G22" s="7">
        <v>163</v>
      </c>
      <c r="H22" s="7">
        <v>171.7</v>
      </c>
      <c r="I22" s="8">
        <f t="shared" si="1"/>
        <v>1.4637002341920374E-2</v>
      </c>
      <c r="J22" s="8">
        <f t="shared" si="2"/>
        <v>1.3937282229965191E-2</v>
      </c>
      <c r="K22" s="8">
        <f t="shared" si="3"/>
        <v>2.4600246002460377E-3</v>
      </c>
      <c r="L22" s="8">
        <f t="shared" si="4"/>
        <v>9.4062316284538178E-3</v>
      </c>
    </row>
    <row r="23" spans="1:12" x14ac:dyDescent="0.4">
      <c r="A23" s="7">
        <v>2022</v>
      </c>
      <c r="B23" s="7" t="s">
        <v>213</v>
      </c>
      <c r="C23" s="7">
        <v>120.1</v>
      </c>
      <c r="D23" s="8">
        <f t="shared" si="0"/>
        <v>6.8505338078291705E-2</v>
      </c>
      <c r="E23" s="7">
        <v>174.9</v>
      </c>
      <c r="F23" s="7">
        <v>176</v>
      </c>
      <c r="G23" s="7">
        <v>161.1</v>
      </c>
      <c r="H23" s="7">
        <v>172.6</v>
      </c>
      <c r="I23" s="8">
        <f t="shared" si="1"/>
        <v>9.2325447201384546E-3</v>
      </c>
      <c r="J23" s="8">
        <f t="shared" si="2"/>
        <v>8.0183276059565042E-3</v>
      </c>
      <c r="K23" s="8">
        <f t="shared" si="3"/>
        <v>-1.1656441717791446E-2</v>
      </c>
      <c r="L23" s="8">
        <f t="shared" si="4"/>
        <v>5.2417006406523343E-3</v>
      </c>
    </row>
    <row r="24" spans="1:12" x14ac:dyDescent="0.4">
      <c r="A24" s="7">
        <v>2022</v>
      </c>
      <c r="B24" s="7" t="s">
        <v>214</v>
      </c>
      <c r="C24" s="7">
        <v>108.9</v>
      </c>
      <c r="D24" s="8">
        <f t="shared" si="0"/>
        <v>-9.3255620316402901E-2</v>
      </c>
      <c r="E24" s="7">
        <v>175</v>
      </c>
      <c r="F24" s="7">
        <v>179.6</v>
      </c>
      <c r="G24" s="7">
        <v>161.6</v>
      </c>
      <c r="H24" s="7">
        <v>173.4</v>
      </c>
      <c r="I24" s="8">
        <f t="shared" si="1"/>
        <v>5.7175528873638828E-4</v>
      </c>
      <c r="J24" s="8">
        <f t="shared" si="2"/>
        <v>2.0454545454545423E-2</v>
      </c>
      <c r="K24" s="8">
        <f t="shared" si="3"/>
        <v>3.1036623215394167E-3</v>
      </c>
      <c r="L24" s="8">
        <f t="shared" si="4"/>
        <v>4.634994206257308E-3</v>
      </c>
    </row>
    <row r="25" spans="1:12" x14ac:dyDescent="0.4">
      <c r="A25" s="7">
        <v>2022</v>
      </c>
      <c r="B25" s="7" t="s">
        <v>215</v>
      </c>
      <c r="C25" s="7">
        <v>98.6</v>
      </c>
      <c r="D25" s="8">
        <f t="shared" si="0"/>
        <v>-9.4582185491276505E-2</v>
      </c>
      <c r="E25" s="7">
        <v>176.3</v>
      </c>
      <c r="F25" s="7">
        <v>178.8</v>
      </c>
      <c r="G25" s="7">
        <v>161.9</v>
      </c>
      <c r="H25" s="7">
        <v>174.3</v>
      </c>
      <c r="I25" s="8">
        <f t="shared" si="1"/>
        <v>7.4285714285714935E-3</v>
      </c>
      <c r="J25" s="8">
        <f t="shared" si="2"/>
        <v>-4.4543429844097048E-3</v>
      </c>
      <c r="K25" s="8">
        <f t="shared" si="3"/>
        <v>1.8564356435644268E-3</v>
      </c>
      <c r="L25" s="8">
        <f t="shared" si="4"/>
        <v>5.1903114186851538E-3</v>
      </c>
    </row>
    <row r="26" spans="1:12" x14ac:dyDescent="0.4">
      <c r="A26" s="7">
        <v>2022</v>
      </c>
      <c r="B26" s="7" t="s">
        <v>216</v>
      </c>
      <c r="C26" s="7">
        <v>90.2</v>
      </c>
      <c r="D26" s="8">
        <f t="shared" si="0"/>
        <v>-8.5192697768762593E-2</v>
      </c>
      <c r="E26" s="7">
        <v>177.8</v>
      </c>
      <c r="F26" s="7">
        <v>179.5</v>
      </c>
      <c r="G26" s="7">
        <v>162.30000000000001</v>
      </c>
      <c r="H26" s="7">
        <v>175.3</v>
      </c>
      <c r="I26" s="8">
        <f t="shared" si="1"/>
        <v>8.5082246171298923E-3</v>
      </c>
      <c r="J26" s="8">
        <f t="shared" si="2"/>
        <v>3.9149888143176093E-3</v>
      </c>
      <c r="K26" s="8">
        <f t="shared" si="3"/>
        <v>2.470660901791264E-3</v>
      </c>
      <c r="L26" s="8">
        <f t="shared" si="4"/>
        <v>5.737234652897303E-3</v>
      </c>
    </row>
    <row r="27" spans="1:12" x14ac:dyDescent="0.4">
      <c r="A27" s="7">
        <v>2022</v>
      </c>
      <c r="B27" s="7" t="s">
        <v>217</v>
      </c>
      <c r="C27" s="7">
        <v>93.1</v>
      </c>
      <c r="D27" s="8">
        <f t="shared" si="0"/>
        <v>3.215077605321498E-2</v>
      </c>
      <c r="E27" s="7">
        <v>179.6</v>
      </c>
      <c r="F27" s="7">
        <v>180.5</v>
      </c>
      <c r="G27" s="7">
        <v>162.9</v>
      </c>
      <c r="H27" s="7">
        <v>176.7</v>
      </c>
      <c r="I27" s="8">
        <f t="shared" si="1"/>
        <v>1.0123734533183255E-2</v>
      </c>
      <c r="J27" s="8">
        <f t="shared" si="2"/>
        <v>5.5710306406685237E-3</v>
      </c>
      <c r="K27" s="8">
        <f t="shared" si="3"/>
        <v>3.6968576709796321E-3</v>
      </c>
      <c r="L27" s="8">
        <f t="shared" si="4"/>
        <v>7.9863091842554308E-3</v>
      </c>
    </row>
    <row r="28" spans="1:12" x14ac:dyDescent="0.4">
      <c r="A28" s="7">
        <v>2022</v>
      </c>
      <c r="B28" s="7" t="s">
        <v>218</v>
      </c>
      <c r="C28" s="7">
        <v>91.1</v>
      </c>
      <c r="D28" s="8">
        <f t="shared" si="0"/>
        <v>-2.1482277121374866E-2</v>
      </c>
      <c r="E28" s="7">
        <v>178.3</v>
      </c>
      <c r="F28" s="7">
        <v>181.3</v>
      </c>
      <c r="G28" s="7">
        <v>163</v>
      </c>
      <c r="H28" s="7">
        <v>176.5</v>
      </c>
      <c r="I28" s="8">
        <f t="shared" si="1"/>
        <v>-7.2383073496658295E-3</v>
      </c>
      <c r="J28" s="8">
        <f t="shared" si="2"/>
        <v>4.4321329639889825E-3</v>
      </c>
      <c r="K28" s="8">
        <f t="shared" si="3"/>
        <v>6.1387354205030267E-4</v>
      </c>
      <c r="L28" s="8">
        <f t="shared" si="4"/>
        <v>-1.1318619128465684E-3</v>
      </c>
    </row>
    <row r="29" spans="1:12" x14ac:dyDescent="0.4">
      <c r="A29" s="7">
        <v>2022</v>
      </c>
      <c r="B29" s="7" t="s">
        <v>208</v>
      </c>
      <c r="C29" s="7">
        <v>80.900000000000006</v>
      </c>
      <c r="D29" s="8">
        <f t="shared" si="0"/>
        <v>-0.11196487376509319</v>
      </c>
      <c r="E29" s="7">
        <v>175.9</v>
      </c>
      <c r="F29" s="7">
        <v>182</v>
      </c>
      <c r="G29" s="7">
        <v>163.4</v>
      </c>
      <c r="H29" s="7">
        <v>175.7</v>
      </c>
      <c r="I29" s="8">
        <f t="shared" si="1"/>
        <v>-1.3460459899046581E-2</v>
      </c>
      <c r="J29" s="8">
        <f t="shared" si="2"/>
        <v>3.8610038610037982E-3</v>
      </c>
      <c r="K29" s="8">
        <f t="shared" si="3"/>
        <v>2.4539877300613845E-3</v>
      </c>
      <c r="L29" s="8">
        <f t="shared" si="4"/>
        <v>-4.5325779036827843E-3</v>
      </c>
    </row>
    <row r="30" spans="1:12" x14ac:dyDescent="0.4">
      <c r="A30" s="7">
        <v>2023</v>
      </c>
      <c r="B30" s="7" t="s">
        <v>209</v>
      </c>
      <c r="C30" s="7">
        <v>83.1</v>
      </c>
      <c r="D30" s="8">
        <f t="shared" si="0"/>
        <v>2.7194066749072786E-2</v>
      </c>
      <c r="E30" s="7">
        <v>176.7</v>
      </c>
      <c r="F30" s="7">
        <v>182</v>
      </c>
      <c r="G30" s="7">
        <v>163.6</v>
      </c>
      <c r="H30" s="7">
        <v>176.5</v>
      </c>
      <c r="I30" s="8">
        <f t="shared" si="1"/>
        <v>4.5480386583284984E-3</v>
      </c>
      <c r="J30" s="8">
        <f t="shared" si="2"/>
        <v>0</v>
      </c>
      <c r="K30" s="8">
        <f t="shared" si="3"/>
        <v>1.2239902080782657E-3</v>
      </c>
      <c r="L30" s="8">
        <f t="shared" si="4"/>
        <v>4.5532157085942599E-3</v>
      </c>
    </row>
    <row r="31" spans="1:12" x14ac:dyDescent="0.4">
      <c r="A31" s="7">
        <v>2023</v>
      </c>
      <c r="B31" s="7" t="s">
        <v>210</v>
      </c>
      <c r="C31" s="7">
        <v>82.7</v>
      </c>
      <c r="D31" s="8">
        <f t="shared" si="0"/>
        <v>-4.8134777376653611E-3</v>
      </c>
      <c r="E31" s="7">
        <v>177</v>
      </c>
      <c r="F31" s="7">
        <v>182.1</v>
      </c>
      <c r="G31" s="7">
        <v>164.2</v>
      </c>
      <c r="H31" s="7">
        <v>177.2</v>
      </c>
      <c r="I31" s="8">
        <f t="shared" si="1"/>
        <v>1.6977928692700134E-3</v>
      </c>
      <c r="J31" s="8">
        <f t="shared" si="2"/>
        <v>5.4945054945051823E-4</v>
      </c>
      <c r="K31" s="8">
        <f t="shared" si="3"/>
        <v>3.6674816625916523E-3</v>
      </c>
      <c r="L31" s="8">
        <f t="shared" si="4"/>
        <v>3.9660056657223148E-3</v>
      </c>
    </row>
    <row r="32" spans="1:12" x14ac:dyDescent="0.4">
      <c r="A32" s="7">
        <v>2023</v>
      </c>
      <c r="B32" s="7" t="s">
        <v>211</v>
      </c>
      <c r="C32" s="7">
        <v>78.5</v>
      </c>
      <c r="D32" s="8">
        <f t="shared" si="0"/>
        <v>-5.0785973397823488E-2</v>
      </c>
      <c r="E32" s="7">
        <v>177</v>
      </c>
      <c r="F32" s="7">
        <v>181.9</v>
      </c>
      <c r="G32" s="7">
        <v>164.2</v>
      </c>
      <c r="H32" s="7">
        <v>177.2</v>
      </c>
      <c r="I32" s="8">
        <f t="shared" si="1"/>
        <v>0</v>
      </c>
      <c r="J32" s="8">
        <f t="shared" si="2"/>
        <v>-1.0982976386600144E-3</v>
      </c>
      <c r="K32" s="8">
        <f t="shared" si="3"/>
        <v>0</v>
      </c>
      <c r="L32" s="8">
        <f t="shared" si="4"/>
        <v>0</v>
      </c>
    </row>
    <row r="33" spans="1:12" x14ac:dyDescent="0.4">
      <c r="A33" s="7">
        <v>2023</v>
      </c>
      <c r="B33" s="7" t="s">
        <v>212</v>
      </c>
      <c r="C33" s="7">
        <v>84.1</v>
      </c>
      <c r="D33" s="8">
        <f t="shared" si="0"/>
        <v>7.1337579617834324E-2</v>
      </c>
      <c r="E33" s="7">
        <v>177.9</v>
      </c>
      <c r="F33" s="7">
        <v>181.7</v>
      </c>
      <c r="G33" s="7">
        <v>164.5</v>
      </c>
      <c r="H33" s="7">
        <v>178.1</v>
      </c>
      <c r="I33" s="8">
        <f t="shared" si="1"/>
        <v>5.0847457627118961E-3</v>
      </c>
      <c r="J33" s="8">
        <f t="shared" si="2"/>
        <v>-1.0995052226499013E-3</v>
      </c>
      <c r="K33" s="8">
        <f t="shared" si="3"/>
        <v>1.8270401948843567E-3</v>
      </c>
      <c r="L33" s="8">
        <f t="shared" si="4"/>
        <v>5.0790067720090613E-3</v>
      </c>
    </row>
    <row r="34" spans="1:12" x14ac:dyDescent="0.4">
      <c r="A34" s="7">
        <v>2023</v>
      </c>
      <c r="B34" s="7" t="s">
        <v>41</v>
      </c>
      <c r="C34" s="7">
        <v>75.7</v>
      </c>
      <c r="D34" s="8">
        <f t="shared" si="0"/>
        <v>-9.988109393579063E-2</v>
      </c>
      <c r="E34" s="7">
        <v>179.1</v>
      </c>
      <c r="F34" s="7">
        <v>182.8</v>
      </c>
      <c r="G34" s="7">
        <v>164.8</v>
      </c>
      <c r="H34" s="7">
        <v>179.1</v>
      </c>
      <c r="I34" s="8">
        <f t="shared" si="1"/>
        <v>6.7453625632377095E-3</v>
      </c>
      <c r="J34" s="8">
        <f t="shared" si="2"/>
        <v>6.0539350577876877E-3</v>
      </c>
      <c r="K34" s="8">
        <f t="shared" si="3"/>
        <v>1.8237082066869992E-3</v>
      </c>
      <c r="L34" s="8">
        <f t="shared" si="4"/>
        <v>5.614823133071308E-3</v>
      </c>
    </row>
  </sheetData>
  <mergeCells count="1">
    <mergeCell ref="N4:O4"/>
  </mergeCells>
  <conditionalFormatting sqref="O5:O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G2" sqref="G2"/>
    </sheetView>
  </sheetViews>
  <sheetFormatPr defaultRowHeight="21" x14ac:dyDescent="0.4"/>
  <cols>
    <col min="3" max="3" width="24" customWidth="1"/>
    <col min="4" max="4" width="16.85546875" customWidth="1"/>
    <col min="5" max="5" width="24.5" customWidth="1"/>
    <col min="6" max="6" width="11.5" bestFit="1" customWidth="1"/>
    <col min="7" max="7" width="23.5" bestFit="1" customWidth="1"/>
    <col min="9" max="9" width="31.5703125" bestFit="1" customWidth="1"/>
    <col min="10" max="10" width="18.5703125" bestFit="1" customWidth="1"/>
  </cols>
  <sheetData>
    <row r="1" spans="1:10" x14ac:dyDescent="0.4">
      <c r="A1" s="41" t="s">
        <v>197</v>
      </c>
      <c r="B1" s="41"/>
      <c r="C1" s="41"/>
    </row>
    <row r="2" spans="1:10" x14ac:dyDescent="0.4">
      <c r="A2" s="42" t="s">
        <v>223</v>
      </c>
      <c r="B2" s="42"/>
      <c r="C2" s="42"/>
      <c r="D2" s="42"/>
      <c r="E2" s="42"/>
    </row>
    <row r="3" spans="1:10" x14ac:dyDescent="0.4">
      <c r="A3" s="11"/>
      <c r="B3" s="11"/>
      <c r="C3" s="11"/>
    </row>
    <row r="4" spans="1:10" x14ac:dyDescent="0.4">
      <c r="A4" s="14" t="s">
        <v>1</v>
      </c>
      <c r="B4" s="14" t="s">
        <v>2</v>
      </c>
      <c r="C4" s="14" t="s">
        <v>15</v>
      </c>
      <c r="D4" s="14" t="s">
        <v>23</v>
      </c>
      <c r="E4" s="14" t="s">
        <v>24</v>
      </c>
      <c r="F4" s="14" t="s">
        <v>29</v>
      </c>
      <c r="G4" s="14" t="s">
        <v>198</v>
      </c>
      <c r="H4" s="14" t="s">
        <v>199</v>
      </c>
      <c r="I4" s="14" t="s">
        <v>200</v>
      </c>
      <c r="J4" s="14" t="s">
        <v>201</v>
      </c>
    </row>
    <row r="5" spans="1:10" x14ac:dyDescent="0.4">
      <c r="A5" s="7">
        <v>2020</v>
      </c>
      <c r="B5" s="7" t="s">
        <v>31</v>
      </c>
      <c r="C5" s="7">
        <v>153.5</v>
      </c>
      <c r="D5" s="7">
        <v>151.19999999999999</v>
      </c>
      <c r="E5" s="7">
        <v>130.9</v>
      </c>
      <c r="F5" s="7">
        <v>150.19999999999999</v>
      </c>
      <c r="G5" s="8">
        <f>(C5-C53)/C43</f>
        <v>-1.0917030567685589E-2</v>
      </c>
      <c r="H5" s="8">
        <f t="shared" ref="H5:J5" si="0">(D5-D53)/D43</f>
        <v>5.5134390075808615E-3</v>
      </c>
      <c r="I5" s="8">
        <f t="shared" si="0"/>
        <v>8.9213300892132547E-3</v>
      </c>
      <c r="J5" s="8">
        <f t="shared" si="0"/>
        <v>-1.4326647564471137E-3</v>
      </c>
    </row>
    <row r="6" spans="1:10" x14ac:dyDescent="0.4">
      <c r="A6" s="7">
        <v>2020</v>
      </c>
      <c r="B6" s="7" t="s">
        <v>36</v>
      </c>
      <c r="C6" s="7">
        <v>150.5</v>
      </c>
      <c r="D6" s="7">
        <v>151.69999999999999</v>
      </c>
      <c r="E6" s="7">
        <v>130.30000000000001</v>
      </c>
      <c r="F6" s="7">
        <v>149.1</v>
      </c>
      <c r="G6" s="8">
        <f>(C6-C5)/C5</f>
        <v>-1.9543973941368076E-2</v>
      </c>
      <c r="H6" s="8">
        <f t="shared" ref="H6:J16" si="1">(D6-D5)/D5</f>
        <v>3.3068783068783071E-3</v>
      </c>
      <c r="I6" s="8">
        <f t="shared" si="1"/>
        <v>-4.583651642475128E-3</v>
      </c>
      <c r="J6" s="8">
        <f t="shared" si="1"/>
        <v>-7.3235685752329853E-3</v>
      </c>
    </row>
    <row r="7" spans="1:10" x14ac:dyDescent="0.4">
      <c r="A7" s="7">
        <v>2020</v>
      </c>
      <c r="B7" s="7" t="s">
        <v>38</v>
      </c>
      <c r="C7" s="7">
        <v>148.9</v>
      </c>
      <c r="D7" s="7">
        <v>152.30000000000001</v>
      </c>
      <c r="E7" s="7">
        <v>129.9</v>
      </c>
      <c r="F7" s="7">
        <v>148.6</v>
      </c>
      <c r="G7" s="8">
        <f t="shared" ref="G7:G16" si="2">(C7-C6)/C6</f>
        <v>-1.0631229235880361E-2</v>
      </c>
      <c r="H7" s="8">
        <f t="shared" si="1"/>
        <v>3.9551746868821541E-3</v>
      </c>
      <c r="I7" s="8">
        <f t="shared" si="1"/>
        <v>-3.0698388334612866E-3</v>
      </c>
      <c r="J7" s="8">
        <f t="shared" si="1"/>
        <v>-3.3534540576794099E-3</v>
      </c>
    </row>
    <row r="8" spans="1:10" x14ac:dyDescent="0.4">
      <c r="A8" s="7">
        <v>2020</v>
      </c>
      <c r="B8" s="7" t="s">
        <v>39</v>
      </c>
      <c r="C8" s="7">
        <v>151.4</v>
      </c>
      <c r="D8" s="7">
        <v>150.69999999999999</v>
      </c>
      <c r="E8" s="27">
        <v>131.6</v>
      </c>
      <c r="F8" s="27">
        <v>149.66666666666666</v>
      </c>
      <c r="G8" s="8">
        <f t="shared" si="2"/>
        <v>1.6789791806581598E-2</v>
      </c>
      <c r="H8" s="8">
        <f t="shared" si="1"/>
        <v>-1.0505581089954186E-2</v>
      </c>
      <c r="I8" s="8">
        <f t="shared" si="1"/>
        <v>1.3086989992301682E-2</v>
      </c>
      <c r="J8" s="8">
        <f t="shared" si="1"/>
        <v>7.1781067743382429E-3</v>
      </c>
    </row>
    <row r="9" spans="1:10" x14ac:dyDescent="0.4">
      <c r="A9" s="7">
        <v>2020</v>
      </c>
      <c r="B9" s="7" t="s">
        <v>41</v>
      </c>
      <c r="C9" s="7">
        <v>152.69999999999999</v>
      </c>
      <c r="D9" s="7">
        <v>152.55000000000001</v>
      </c>
      <c r="E9" s="27">
        <v>133.30000000000001</v>
      </c>
      <c r="F9" s="27">
        <v>150.73333333333335</v>
      </c>
      <c r="G9" s="8">
        <f t="shared" si="2"/>
        <v>8.5865257595771662E-3</v>
      </c>
      <c r="H9" s="8">
        <f t="shared" si="1"/>
        <v>1.2276045122760603E-2</v>
      </c>
      <c r="I9" s="8">
        <f t="shared" si="1"/>
        <v>1.2917933130699218E-2</v>
      </c>
      <c r="J9" s="8">
        <f t="shared" si="1"/>
        <v>7.1269487750558443E-3</v>
      </c>
    </row>
    <row r="10" spans="1:10" x14ac:dyDescent="0.4">
      <c r="A10" s="7">
        <v>2020</v>
      </c>
      <c r="B10" s="7" t="s">
        <v>42</v>
      </c>
      <c r="C10" s="7">
        <v>154</v>
      </c>
      <c r="D10" s="7">
        <v>154.4</v>
      </c>
      <c r="E10" s="7">
        <v>135</v>
      </c>
      <c r="F10" s="7">
        <v>151.80000000000001</v>
      </c>
      <c r="G10" s="8">
        <f t="shared" si="2"/>
        <v>8.5134250163720459E-3</v>
      </c>
      <c r="H10" s="8">
        <f t="shared" si="1"/>
        <v>1.2127171419206779E-2</v>
      </c>
      <c r="I10" s="8">
        <f t="shared" si="1"/>
        <v>1.2753188297074182E-2</v>
      </c>
      <c r="J10" s="8">
        <f t="shared" si="1"/>
        <v>7.0765148164528714E-3</v>
      </c>
    </row>
    <row r="11" spans="1:10" x14ac:dyDescent="0.4">
      <c r="A11" s="7">
        <v>2020</v>
      </c>
      <c r="B11" s="7" t="s">
        <v>44</v>
      </c>
      <c r="C11" s="7">
        <v>154</v>
      </c>
      <c r="D11" s="7">
        <v>154.4</v>
      </c>
      <c r="E11" s="7">
        <v>135</v>
      </c>
      <c r="F11" s="7">
        <v>151.80000000000001</v>
      </c>
      <c r="G11" s="8">
        <f t="shared" si="2"/>
        <v>0</v>
      </c>
      <c r="H11" s="8">
        <f t="shared" si="1"/>
        <v>0</v>
      </c>
      <c r="I11" s="8">
        <f t="shared" si="1"/>
        <v>0</v>
      </c>
      <c r="J11" s="8">
        <f t="shared" si="1"/>
        <v>0</v>
      </c>
    </row>
    <row r="12" spans="1:10" x14ac:dyDescent="0.4">
      <c r="A12" s="7">
        <v>2020</v>
      </c>
      <c r="B12" s="7" t="s">
        <v>46</v>
      </c>
      <c r="C12" s="7">
        <v>157</v>
      </c>
      <c r="D12" s="7">
        <v>155</v>
      </c>
      <c r="E12" s="7">
        <v>138.5</v>
      </c>
      <c r="F12" s="7">
        <v>153.9</v>
      </c>
      <c r="G12" s="8">
        <f t="shared" si="2"/>
        <v>1.948051948051948E-2</v>
      </c>
      <c r="H12" s="8">
        <f t="shared" si="1"/>
        <v>3.8860103626942636E-3</v>
      </c>
      <c r="I12" s="8">
        <f t="shared" si="1"/>
        <v>2.5925925925925925E-2</v>
      </c>
      <c r="J12" s="8">
        <f t="shared" si="1"/>
        <v>1.3833992094861622E-2</v>
      </c>
    </row>
    <row r="13" spans="1:10" x14ac:dyDescent="0.4">
      <c r="A13" s="7">
        <v>2020</v>
      </c>
      <c r="B13" s="7" t="s">
        <v>48</v>
      </c>
      <c r="C13" s="7">
        <v>158</v>
      </c>
      <c r="D13" s="7">
        <v>155.6</v>
      </c>
      <c r="E13" s="7">
        <v>139.6</v>
      </c>
      <c r="F13" s="7">
        <v>154.69999999999999</v>
      </c>
      <c r="G13" s="8">
        <f t="shared" si="2"/>
        <v>6.369426751592357E-3</v>
      </c>
      <c r="H13" s="8">
        <f t="shared" si="1"/>
        <v>3.870967741935447E-3</v>
      </c>
      <c r="I13" s="8">
        <f t="shared" si="1"/>
        <v>7.9422382671479729E-3</v>
      </c>
      <c r="J13" s="8">
        <f t="shared" si="1"/>
        <v>5.1981806367770167E-3</v>
      </c>
    </row>
    <row r="14" spans="1:10" x14ac:dyDescent="0.4">
      <c r="A14" s="7">
        <v>2020</v>
      </c>
      <c r="B14" s="7" t="s">
        <v>50</v>
      </c>
      <c r="C14" s="7">
        <v>161.4</v>
      </c>
      <c r="D14" s="7">
        <v>156.30000000000001</v>
      </c>
      <c r="E14" s="7">
        <v>140.6</v>
      </c>
      <c r="F14" s="7">
        <v>156.4</v>
      </c>
      <c r="G14" s="8">
        <f t="shared" si="2"/>
        <v>2.1518987341772187E-2</v>
      </c>
      <c r="H14" s="8">
        <f t="shared" si="1"/>
        <v>4.4987146529564077E-3</v>
      </c>
      <c r="I14" s="8">
        <f t="shared" si="1"/>
        <v>7.1633237822349575E-3</v>
      </c>
      <c r="J14" s="8">
        <f t="shared" si="1"/>
        <v>1.0989010989011101E-2</v>
      </c>
    </row>
    <row r="15" spans="1:10" x14ac:dyDescent="0.4">
      <c r="A15" s="7">
        <v>2020</v>
      </c>
      <c r="B15" s="7" t="s">
        <v>53</v>
      </c>
      <c r="C15" s="7">
        <v>164.7</v>
      </c>
      <c r="D15" s="7">
        <v>157.19999999999999</v>
      </c>
      <c r="E15" s="7">
        <v>140.4</v>
      </c>
      <c r="F15" s="7">
        <v>158.4</v>
      </c>
      <c r="G15" s="8">
        <f t="shared" si="2"/>
        <v>2.0446096654274985E-2</v>
      </c>
      <c r="H15" s="8">
        <f t="shared" si="1"/>
        <v>5.7581573896351712E-3</v>
      </c>
      <c r="I15" s="8">
        <f t="shared" si="1"/>
        <v>-1.4224751066855522E-3</v>
      </c>
      <c r="J15" s="8">
        <f t="shared" si="1"/>
        <v>1.278772378516624E-2</v>
      </c>
    </row>
    <row r="16" spans="1:10" x14ac:dyDescent="0.4">
      <c r="A16" s="7">
        <v>2020</v>
      </c>
      <c r="B16" s="7" t="s">
        <v>55</v>
      </c>
      <c r="C16" s="7">
        <v>165.4</v>
      </c>
      <c r="D16" s="7">
        <v>158.30000000000001</v>
      </c>
      <c r="E16" s="7">
        <v>140.69999999999999</v>
      </c>
      <c r="F16" s="7">
        <v>158.9</v>
      </c>
      <c r="G16" s="8">
        <f t="shared" si="2"/>
        <v>4.2501517911355015E-3</v>
      </c>
      <c r="H16" s="8">
        <f t="shared" si="1"/>
        <v>6.9974554707380584E-3</v>
      </c>
      <c r="I16" s="8">
        <f t="shared" si="1"/>
        <v>2.1367521367520151E-3</v>
      </c>
      <c r="J16" s="8">
        <f t="shared" si="1"/>
        <v>3.1565656565656565E-3</v>
      </c>
    </row>
    <row r="18" spans="3:6" x14ac:dyDescent="0.4">
      <c r="C18" s="14" t="s">
        <v>194</v>
      </c>
      <c r="D18" s="14" t="s">
        <v>202</v>
      </c>
      <c r="E18" s="14" t="s">
        <v>204</v>
      </c>
      <c r="F18" s="14" t="s">
        <v>203</v>
      </c>
    </row>
    <row r="19" spans="3:6" x14ac:dyDescent="0.4">
      <c r="C19" s="18" t="s">
        <v>15</v>
      </c>
      <c r="D19" s="27">
        <f>AVERAGE(C5:C6)</f>
        <v>152</v>
      </c>
      <c r="E19" s="27">
        <f>AVERAGE(C8:C16)</f>
        <v>157.62222222222223</v>
      </c>
      <c r="F19" s="8">
        <f>(E19-D19)/D19</f>
        <v>3.6988304093567327E-2</v>
      </c>
    </row>
    <row r="20" spans="3:6" x14ac:dyDescent="0.4">
      <c r="C20" s="18" t="s">
        <v>23</v>
      </c>
      <c r="D20" s="27">
        <f>AVERAGE(D5:D6)</f>
        <v>151.44999999999999</v>
      </c>
      <c r="E20" s="27">
        <f>AVERAGE(D8:D16)</f>
        <v>154.9388888888889</v>
      </c>
      <c r="F20" s="8">
        <f t="shared" ref="F20:F22" si="3">(E20-D20)/D20</f>
        <v>2.30365723927957E-2</v>
      </c>
    </row>
    <row r="21" spans="3:6" x14ac:dyDescent="0.4">
      <c r="C21" s="18" t="s">
        <v>24</v>
      </c>
      <c r="D21" s="27">
        <f>AVERAGE(E5:E6)</f>
        <v>130.60000000000002</v>
      </c>
      <c r="E21" s="27">
        <f>AVERAGE(E8:E16)</f>
        <v>137.1888888888889</v>
      </c>
      <c r="F21" s="8">
        <f t="shared" si="3"/>
        <v>5.045091032839872E-2</v>
      </c>
    </row>
    <row r="22" spans="3:6" x14ac:dyDescent="0.4">
      <c r="C22" s="18" t="s">
        <v>29</v>
      </c>
      <c r="D22" s="27">
        <f>AVERAGE(F5:F6)</f>
        <v>149.64999999999998</v>
      </c>
      <c r="E22" s="27">
        <f>AVERAGE(F8:F16)</f>
        <v>154.03333333333336</v>
      </c>
      <c r="F22" s="8">
        <f t="shared" si="3"/>
        <v>2.9290566878271855E-2</v>
      </c>
    </row>
    <row r="42" spans="1:6" x14ac:dyDescent="0.4">
      <c r="A42" t="s">
        <v>1</v>
      </c>
      <c r="B42" t="s">
        <v>2</v>
      </c>
      <c r="C42" t="s">
        <v>15</v>
      </c>
      <c r="D42" t="s">
        <v>23</v>
      </c>
      <c r="E42" t="s">
        <v>24</v>
      </c>
      <c r="F42" t="s">
        <v>29</v>
      </c>
    </row>
    <row r="43" spans="1:6" x14ac:dyDescent="0.4">
      <c r="A43">
        <v>2019</v>
      </c>
      <c r="B43" t="s">
        <v>31</v>
      </c>
      <c r="C43">
        <v>137.4</v>
      </c>
      <c r="D43">
        <v>145.1</v>
      </c>
      <c r="E43">
        <v>123.3</v>
      </c>
      <c r="F43">
        <v>139.6</v>
      </c>
    </row>
    <row r="44" spans="1:6" x14ac:dyDescent="0.4">
      <c r="A44">
        <v>2019</v>
      </c>
      <c r="B44" t="s">
        <v>36</v>
      </c>
      <c r="C44">
        <v>137.5</v>
      </c>
      <c r="D44">
        <v>145.6</v>
      </c>
      <c r="E44">
        <v>123.9</v>
      </c>
      <c r="F44">
        <v>139.9</v>
      </c>
    </row>
    <row r="45" spans="1:6" x14ac:dyDescent="0.4">
      <c r="A45">
        <v>2019</v>
      </c>
      <c r="B45" t="s">
        <v>38</v>
      </c>
      <c r="C45">
        <v>138.1</v>
      </c>
      <c r="D45">
        <v>146.19999999999999</v>
      </c>
      <c r="E45">
        <v>124.6</v>
      </c>
      <c r="F45">
        <v>140.4</v>
      </c>
    </row>
    <row r="46" spans="1:6" x14ac:dyDescent="0.4">
      <c r="A46">
        <v>2019</v>
      </c>
      <c r="B46" t="s">
        <v>41</v>
      </c>
      <c r="C46">
        <v>140.9</v>
      </c>
      <c r="D46">
        <v>146.9</v>
      </c>
      <c r="E46">
        <v>124.9</v>
      </c>
      <c r="F46">
        <v>142</v>
      </c>
    </row>
    <row r="47" spans="1:6" x14ac:dyDescent="0.4">
      <c r="A47">
        <v>2019</v>
      </c>
      <c r="B47" t="s">
        <v>42</v>
      </c>
      <c r="C47">
        <v>142.69999999999999</v>
      </c>
      <c r="D47">
        <v>147.4</v>
      </c>
      <c r="E47">
        <v>124.6</v>
      </c>
      <c r="F47">
        <v>142.9</v>
      </c>
    </row>
    <row r="48" spans="1:6" x14ac:dyDescent="0.4">
      <c r="A48">
        <v>2019</v>
      </c>
      <c r="B48" t="s">
        <v>44</v>
      </c>
      <c r="C48">
        <v>144.69999999999999</v>
      </c>
      <c r="D48">
        <v>147.9</v>
      </c>
      <c r="E48">
        <v>125.6</v>
      </c>
      <c r="F48">
        <v>144.19999999999999</v>
      </c>
    </row>
    <row r="49" spans="1:6" x14ac:dyDescent="0.4">
      <c r="A49">
        <v>2019</v>
      </c>
      <c r="B49" t="s">
        <v>46</v>
      </c>
      <c r="C49">
        <v>145.9</v>
      </c>
      <c r="D49">
        <v>148.5</v>
      </c>
      <c r="E49">
        <v>125.8</v>
      </c>
      <c r="F49">
        <v>145</v>
      </c>
    </row>
    <row r="50" spans="1:6" x14ac:dyDescent="0.4">
      <c r="A50">
        <v>2019</v>
      </c>
      <c r="B50" t="s">
        <v>48</v>
      </c>
      <c r="C50">
        <v>147</v>
      </c>
      <c r="D50">
        <v>149</v>
      </c>
      <c r="E50">
        <v>126.1</v>
      </c>
      <c r="F50">
        <v>145.80000000000001</v>
      </c>
    </row>
    <row r="51" spans="1:6" x14ac:dyDescent="0.4">
      <c r="A51">
        <v>2019</v>
      </c>
      <c r="B51" t="s">
        <v>50</v>
      </c>
      <c r="C51">
        <v>149.6</v>
      </c>
      <c r="D51">
        <v>149.4</v>
      </c>
      <c r="E51">
        <v>126.3</v>
      </c>
      <c r="F51">
        <v>147.19999999999999</v>
      </c>
    </row>
    <row r="52" spans="1:6" x14ac:dyDescent="0.4">
      <c r="A52">
        <v>2019</v>
      </c>
      <c r="B52" t="s">
        <v>53</v>
      </c>
      <c r="C52">
        <v>151.9</v>
      </c>
      <c r="D52">
        <v>149.9</v>
      </c>
      <c r="E52">
        <v>126.6</v>
      </c>
      <c r="F52">
        <v>148.6</v>
      </c>
    </row>
    <row r="53" spans="1:6" x14ac:dyDescent="0.4">
      <c r="A53">
        <v>2019</v>
      </c>
      <c r="B53" t="s">
        <v>55</v>
      </c>
      <c r="C53">
        <v>155</v>
      </c>
      <c r="D53">
        <v>150.4</v>
      </c>
      <c r="E53">
        <v>129.80000000000001</v>
      </c>
      <c r="F53">
        <v>150.4</v>
      </c>
    </row>
  </sheetData>
  <mergeCells count="2">
    <mergeCell ref="A1:C1"/>
    <mergeCell ref="A2:E2"/>
  </mergeCells>
  <conditionalFormatting sqref="F19:F2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{D20C5F40-7E92-4C24-9C1A-FBD1CA917AA1}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0C5F40-7E92-4C24-9C1A-FBD1CA917AA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F19:F22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activeCell="H2" sqref="H2"/>
    </sheetView>
  </sheetViews>
  <sheetFormatPr defaultRowHeight="21" x14ac:dyDescent="0.4"/>
  <cols>
    <col min="1" max="1" width="26" customWidth="1"/>
    <col min="2" max="2" width="18.28515625" customWidth="1"/>
    <col min="3" max="4" width="17.42578125" bestFit="1" customWidth="1"/>
    <col min="5" max="5" width="18.5" style="5" bestFit="1" customWidth="1"/>
    <col min="6" max="6" width="10.35546875" customWidth="1"/>
  </cols>
  <sheetData>
    <row r="1" spans="1:9" x14ac:dyDescent="0.4">
      <c r="A1" s="43" t="s">
        <v>184</v>
      </c>
      <c r="B1" s="43"/>
    </row>
    <row r="2" spans="1:9" s="12" customFormat="1" x14ac:dyDescent="0.4">
      <c r="A2" s="34" t="s">
        <v>224</v>
      </c>
      <c r="B2" s="35"/>
      <c r="C2" s="36"/>
      <c r="D2" s="36"/>
      <c r="E2" s="37"/>
      <c r="F2" s="36"/>
    </row>
    <row r="3" spans="1:9" s="12" customFormat="1" x14ac:dyDescent="0.4">
      <c r="A3" s="11"/>
      <c r="B3" s="11"/>
      <c r="E3" s="33"/>
    </row>
    <row r="4" spans="1:9" x14ac:dyDescent="0.4">
      <c r="A4" s="13" t="s">
        <v>1</v>
      </c>
      <c r="B4" s="14" t="s">
        <v>2</v>
      </c>
      <c r="C4" s="14" t="s">
        <v>185</v>
      </c>
      <c r="D4" s="14" t="s">
        <v>186</v>
      </c>
      <c r="E4" s="15" t="s">
        <v>187</v>
      </c>
      <c r="G4" s="18" t="s">
        <v>190</v>
      </c>
    </row>
    <row r="5" spans="1:9" x14ac:dyDescent="0.4">
      <c r="A5" s="7">
        <v>2022</v>
      </c>
      <c r="B5" s="7" t="s">
        <v>42</v>
      </c>
      <c r="C5" s="7">
        <v>174.9</v>
      </c>
      <c r="D5" s="7">
        <v>173.3</v>
      </c>
      <c r="E5" s="8">
        <f>(C5-D5)/D5</f>
        <v>9.2325447201384546E-3</v>
      </c>
      <c r="G5" s="19" t="s">
        <v>188</v>
      </c>
      <c r="H5" s="20" t="str">
        <f>INDEX(B5:B16,MATCH(MAX(E5:E16),E5:E16,0))</f>
        <v>October</v>
      </c>
      <c r="I5" s="21">
        <f>MAX(E5:E16)</f>
        <v>1.0123734533183255E-2</v>
      </c>
    </row>
    <row r="6" spans="1:9" x14ac:dyDescent="0.4">
      <c r="A6" s="7">
        <v>2022</v>
      </c>
      <c r="B6" s="7" t="s">
        <v>44</v>
      </c>
      <c r="C6" s="7">
        <v>175</v>
      </c>
      <c r="D6" s="7">
        <v>174.9</v>
      </c>
      <c r="E6" s="8">
        <f t="shared" ref="E6:E16" si="0">(C6-D6)/D6</f>
        <v>5.7175528873638828E-4</v>
      </c>
      <c r="G6" s="19" t="s">
        <v>189</v>
      </c>
      <c r="H6" s="20" t="str">
        <f>INDEX(B5:B16,MATCH(MIN(E5:E16),E5:E16,0))</f>
        <v>December</v>
      </c>
      <c r="I6" s="21">
        <f>MIN(E5:E16)</f>
        <v>-1.3460459899046581E-2</v>
      </c>
    </row>
    <row r="7" spans="1:9" x14ac:dyDescent="0.4">
      <c r="A7" s="7">
        <v>2022</v>
      </c>
      <c r="B7" s="7" t="s">
        <v>46</v>
      </c>
      <c r="C7" s="7">
        <v>176.3</v>
      </c>
      <c r="D7" s="7">
        <v>175</v>
      </c>
      <c r="E7" s="8">
        <f t="shared" si="0"/>
        <v>7.4285714285714935E-3</v>
      </c>
      <c r="G7" s="22" t="s">
        <v>191</v>
      </c>
      <c r="H7" s="23">
        <f>C16-C5</f>
        <v>4.1999999999999886</v>
      </c>
    </row>
    <row r="8" spans="1:9" x14ac:dyDescent="0.4">
      <c r="A8" s="7">
        <v>2022</v>
      </c>
      <c r="B8" s="7" t="s">
        <v>48</v>
      </c>
      <c r="C8" s="7">
        <v>177.8</v>
      </c>
      <c r="D8" s="7">
        <v>176.3</v>
      </c>
      <c r="E8" s="8">
        <f t="shared" si="0"/>
        <v>8.5082246171298923E-3</v>
      </c>
      <c r="G8" s="22" t="s">
        <v>192</v>
      </c>
      <c r="H8" s="24">
        <f>(C16-C5)/C5</f>
        <v>2.4013722126929607E-2</v>
      </c>
    </row>
    <row r="9" spans="1:9" x14ac:dyDescent="0.4">
      <c r="A9" s="7">
        <v>2022</v>
      </c>
      <c r="B9" s="7" t="s">
        <v>50</v>
      </c>
      <c r="C9" s="7">
        <v>179.6</v>
      </c>
      <c r="D9" s="7">
        <v>177.8</v>
      </c>
      <c r="E9" s="8">
        <f t="shared" si="0"/>
        <v>1.0123734533183255E-2</v>
      </c>
    </row>
    <row r="10" spans="1:9" x14ac:dyDescent="0.4">
      <c r="A10" s="7">
        <v>2022</v>
      </c>
      <c r="B10" s="7" t="s">
        <v>53</v>
      </c>
      <c r="C10" s="7">
        <v>178.3</v>
      </c>
      <c r="D10" s="7">
        <v>179.6</v>
      </c>
      <c r="E10" s="8">
        <f t="shared" si="0"/>
        <v>-7.2383073496658295E-3</v>
      </c>
    </row>
    <row r="11" spans="1:9" x14ac:dyDescent="0.4">
      <c r="A11" s="7">
        <v>2022</v>
      </c>
      <c r="B11" s="7" t="s">
        <v>55</v>
      </c>
      <c r="C11" s="7">
        <v>175.9</v>
      </c>
      <c r="D11" s="7">
        <v>178.3</v>
      </c>
      <c r="E11" s="8">
        <f t="shared" si="0"/>
        <v>-1.3460459899046581E-2</v>
      </c>
    </row>
    <row r="12" spans="1:9" x14ac:dyDescent="0.4">
      <c r="A12" s="7">
        <v>2023</v>
      </c>
      <c r="B12" s="7" t="s">
        <v>31</v>
      </c>
      <c r="C12" s="7">
        <v>176.7</v>
      </c>
      <c r="D12" s="7">
        <v>175.9</v>
      </c>
      <c r="E12" s="8">
        <f t="shared" si="0"/>
        <v>4.5480386583284984E-3</v>
      </c>
    </row>
    <row r="13" spans="1:9" x14ac:dyDescent="0.4">
      <c r="A13" s="7">
        <v>2023</v>
      </c>
      <c r="B13" s="7" t="s">
        <v>36</v>
      </c>
      <c r="C13" s="7">
        <v>177</v>
      </c>
      <c r="D13" s="7">
        <v>176.7</v>
      </c>
      <c r="E13" s="8">
        <f t="shared" si="0"/>
        <v>1.6977928692700134E-3</v>
      </c>
    </row>
    <row r="14" spans="1:9" x14ac:dyDescent="0.4">
      <c r="A14" s="7">
        <v>2023</v>
      </c>
      <c r="B14" s="7" t="s">
        <v>38</v>
      </c>
      <c r="C14" s="7">
        <v>177</v>
      </c>
      <c r="D14" s="7">
        <v>177</v>
      </c>
      <c r="E14" s="8">
        <f t="shared" si="0"/>
        <v>0</v>
      </c>
    </row>
    <row r="15" spans="1:9" x14ac:dyDescent="0.4">
      <c r="A15" s="7">
        <v>2023</v>
      </c>
      <c r="B15" s="7" t="s">
        <v>39</v>
      </c>
      <c r="C15" s="7">
        <v>177.9</v>
      </c>
      <c r="D15" s="7">
        <v>177</v>
      </c>
      <c r="E15" s="8">
        <f t="shared" si="0"/>
        <v>5.0847457627118961E-3</v>
      </c>
    </row>
    <row r="16" spans="1:9" x14ac:dyDescent="0.4">
      <c r="A16" s="7">
        <v>2023</v>
      </c>
      <c r="B16" s="7" t="s">
        <v>41</v>
      </c>
      <c r="C16" s="7">
        <v>179.1</v>
      </c>
      <c r="D16" s="7">
        <v>177.9</v>
      </c>
      <c r="E16" s="8">
        <f t="shared" si="0"/>
        <v>6.7453625632377095E-3</v>
      </c>
    </row>
    <row r="18" spans="1:7" x14ac:dyDescent="0.4">
      <c r="A18" s="41" t="s">
        <v>193</v>
      </c>
      <c r="B18" s="41"/>
      <c r="E18" s="25" t="s">
        <v>196</v>
      </c>
      <c r="F18" s="19" t="str">
        <f>INDEX(A20:A31,MATCH(MAX(D20:D31),D20:D31,0))</f>
        <v>Spices</v>
      </c>
      <c r="G18" s="26">
        <f>MAX(D20:D31)</f>
        <v>0.16515232495991453</v>
      </c>
    </row>
    <row r="19" spans="1:7" x14ac:dyDescent="0.4">
      <c r="A19" s="14" t="s">
        <v>194</v>
      </c>
      <c r="B19" s="17">
        <v>44713</v>
      </c>
      <c r="C19" s="17">
        <v>45047</v>
      </c>
      <c r="D19" s="14" t="s">
        <v>195</v>
      </c>
    </row>
    <row r="20" spans="1:7" x14ac:dyDescent="0.4">
      <c r="A20" s="9" t="s">
        <v>3</v>
      </c>
      <c r="B20" s="16">
        <v>155</v>
      </c>
      <c r="C20" s="10">
        <v>173.7</v>
      </c>
      <c r="D20" s="8">
        <f>(C20-B20)/B20</f>
        <v>0.1206451612903225</v>
      </c>
    </row>
    <row r="21" spans="1:7" x14ac:dyDescent="0.4">
      <c r="A21" s="9" t="s">
        <v>4</v>
      </c>
      <c r="B21" s="16">
        <v>219.4</v>
      </c>
      <c r="C21" s="10">
        <v>214.3</v>
      </c>
      <c r="D21" s="8">
        <f t="shared" ref="D21:D31" si="1">(C21-B21)/B21</f>
        <v>-2.3245214220601614E-2</v>
      </c>
    </row>
    <row r="22" spans="1:7" x14ac:dyDescent="0.4">
      <c r="A22" s="9" t="s">
        <v>5</v>
      </c>
      <c r="B22" s="16">
        <v>170.8</v>
      </c>
      <c r="C22" s="10">
        <v>173.2</v>
      </c>
      <c r="D22" s="8">
        <f t="shared" si="1"/>
        <v>1.4051522248243426E-2</v>
      </c>
    </row>
    <row r="23" spans="1:7" x14ac:dyDescent="0.4">
      <c r="A23" s="9" t="s">
        <v>6</v>
      </c>
      <c r="B23" s="16">
        <v>165.8</v>
      </c>
      <c r="C23" s="10">
        <v>179.5</v>
      </c>
      <c r="D23" s="8">
        <f t="shared" si="1"/>
        <v>8.2629674306393175E-2</v>
      </c>
    </row>
    <row r="24" spans="1:7" x14ac:dyDescent="0.4">
      <c r="A24" s="9" t="s">
        <v>7</v>
      </c>
      <c r="B24" s="16">
        <v>200.9</v>
      </c>
      <c r="C24" s="10">
        <v>170</v>
      </c>
      <c r="D24" s="8">
        <f t="shared" si="1"/>
        <v>-0.15380786460925835</v>
      </c>
    </row>
    <row r="25" spans="1:7" x14ac:dyDescent="0.4">
      <c r="A25" s="9" t="s">
        <v>8</v>
      </c>
      <c r="B25" s="16">
        <v>169.7</v>
      </c>
      <c r="C25" s="10">
        <v>172.2</v>
      </c>
      <c r="D25" s="8">
        <f t="shared" si="1"/>
        <v>1.4731879787860933E-2</v>
      </c>
    </row>
    <row r="26" spans="1:7" x14ac:dyDescent="0.4">
      <c r="A26" s="9" t="s">
        <v>9</v>
      </c>
      <c r="B26" s="16">
        <v>182.3</v>
      </c>
      <c r="C26" s="10">
        <v>161</v>
      </c>
      <c r="D26" s="8">
        <f t="shared" si="1"/>
        <v>-0.11684037301151953</v>
      </c>
    </row>
    <row r="27" spans="1:7" x14ac:dyDescent="0.4">
      <c r="A27" s="9" t="s">
        <v>10</v>
      </c>
      <c r="B27" s="16">
        <v>164.3</v>
      </c>
      <c r="C27" s="10">
        <v>175.6</v>
      </c>
      <c r="D27" s="8">
        <f t="shared" si="1"/>
        <v>6.8776628119293873E-2</v>
      </c>
    </row>
    <row r="28" spans="1:7" x14ac:dyDescent="0.4">
      <c r="A28" s="9" t="s">
        <v>11</v>
      </c>
      <c r="B28" s="16">
        <v>119.9</v>
      </c>
      <c r="C28" s="10">
        <v>122.7</v>
      </c>
      <c r="D28" s="8">
        <f t="shared" si="1"/>
        <v>2.3352793994995805E-2</v>
      </c>
    </row>
    <row r="29" spans="1:7" x14ac:dyDescent="0.4">
      <c r="A29" s="9" t="s">
        <v>12</v>
      </c>
      <c r="B29" s="16">
        <v>187.1</v>
      </c>
      <c r="C29" s="10">
        <v>218</v>
      </c>
      <c r="D29" s="8">
        <f t="shared" si="1"/>
        <v>0.16515232495991453</v>
      </c>
    </row>
    <row r="30" spans="1:7" x14ac:dyDescent="0.4">
      <c r="A30" s="9" t="s">
        <v>13</v>
      </c>
      <c r="B30" s="16">
        <v>167.9</v>
      </c>
      <c r="C30" s="10">
        <v>173.4</v>
      </c>
      <c r="D30" s="8">
        <f t="shared" si="1"/>
        <v>3.2757593805836809E-2</v>
      </c>
    </row>
    <row r="31" spans="1:7" x14ac:dyDescent="0.4">
      <c r="A31" s="9" t="s">
        <v>14</v>
      </c>
      <c r="B31" s="16">
        <v>183.9</v>
      </c>
      <c r="C31" s="10">
        <v>194.2</v>
      </c>
      <c r="D31" s="8">
        <f t="shared" si="1"/>
        <v>5.6008700380641561E-2</v>
      </c>
    </row>
    <row r="33" spans="1:2" x14ac:dyDescent="0.4">
      <c r="A33" s="14" t="s">
        <v>194</v>
      </c>
      <c r="B33" s="14" t="s">
        <v>195</v>
      </c>
    </row>
    <row r="34" spans="1:2" x14ac:dyDescent="0.4">
      <c r="A34" s="9" t="s">
        <v>3</v>
      </c>
      <c r="B34" s="8">
        <v>0.1206451612903225</v>
      </c>
    </row>
    <row r="35" spans="1:2" x14ac:dyDescent="0.4">
      <c r="A35" s="9" t="s">
        <v>4</v>
      </c>
      <c r="B35" s="8">
        <v>-2.3245214220601614E-2</v>
      </c>
    </row>
    <row r="36" spans="1:2" x14ac:dyDescent="0.4">
      <c r="A36" s="9" t="s">
        <v>5</v>
      </c>
      <c r="B36" s="8">
        <v>1.4051522248243426E-2</v>
      </c>
    </row>
    <row r="37" spans="1:2" x14ac:dyDescent="0.4">
      <c r="A37" s="9" t="s">
        <v>6</v>
      </c>
      <c r="B37" s="8">
        <v>8.2629674306393175E-2</v>
      </c>
    </row>
    <row r="38" spans="1:2" x14ac:dyDescent="0.4">
      <c r="A38" s="9" t="s">
        <v>7</v>
      </c>
      <c r="B38" s="8">
        <v>-0.15380786460925835</v>
      </c>
    </row>
    <row r="39" spans="1:2" x14ac:dyDescent="0.4">
      <c r="A39" s="9" t="s">
        <v>8</v>
      </c>
      <c r="B39" s="8">
        <v>1.4731879787860933E-2</v>
      </c>
    </row>
    <row r="40" spans="1:2" x14ac:dyDescent="0.4">
      <c r="A40" s="9" t="s">
        <v>9</v>
      </c>
      <c r="B40" s="8">
        <v>-0.11684037301151953</v>
      </c>
    </row>
    <row r="41" spans="1:2" x14ac:dyDescent="0.4">
      <c r="A41" s="9" t="s">
        <v>10</v>
      </c>
      <c r="B41" s="8">
        <v>6.8776628119293873E-2</v>
      </c>
    </row>
    <row r="42" spans="1:2" x14ac:dyDescent="0.4">
      <c r="A42" s="9" t="s">
        <v>11</v>
      </c>
      <c r="B42" s="8">
        <v>2.3352793994995805E-2</v>
      </c>
    </row>
    <row r="43" spans="1:2" x14ac:dyDescent="0.4">
      <c r="A43" s="9" t="s">
        <v>12</v>
      </c>
      <c r="B43" s="8">
        <v>0.16515232495991453</v>
      </c>
    </row>
    <row r="44" spans="1:2" x14ac:dyDescent="0.4">
      <c r="A44" s="9" t="s">
        <v>13</v>
      </c>
      <c r="B44" s="8">
        <v>3.2757593805836809E-2</v>
      </c>
    </row>
    <row r="45" spans="1:2" x14ac:dyDescent="0.4">
      <c r="A45" s="9" t="s">
        <v>14</v>
      </c>
      <c r="B45" s="8">
        <v>5.6008700380641561E-2</v>
      </c>
    </row>
  </sheetData>
  <mergeCells count="2">
    <mergeCell ref="A1:B1"/>
    <mergeCell ref="A18:B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activeCell="I6" sqref="I6"/>
    </sheetView>
  </sheetViews>
  <sheetFormatPr defaultRowHeight="21" x14ac:dyDescent="0.4"/>
  <cols>
    <col min="4" max="4" width="21.7109375" bestFit="1" customWidth="1"/>
    <col min="5" max="5" width="9.140625" style="5"/>
    <col min="7" max="7" width="11.2109375" bestFit="1" customWidth="1"/>
    <col min="8" max="8" width="22.5703125" style="5" bestFit="1" customWidth="1"/>
    <col min="9" max="9" width="13.92578125" customWidth="1"/>
  </cols>
  <sheetData>
    <row r="1" spans="1:8" x14ac:dyDescent="0.4">
      <c r="A1" s="41" t="s">
        <v>179</v>
      </c>
      <c r="B1" s="41"/>
      <c r="C1" s="41"/>
      <c r="D1" s="41"/>
      <c r="E1" s="41"/>
      <c r="F1" s="41"/>
      <c r="G1" s="41"/>
    </row>
    <row r="2" spans="1:8" x14ac:dyDescent="0.4">
      <c r="A2" s="38" t="s">
        <v>225</v>
      </c>
      <c r="B2" s="38"/>
      <c r="C2" s="38"/>
      <c r="D2" s="39"/>
      <c r="E2" s="39"/>
      <c r="F2" s="39"/>
      <c r="G2" s="39"/>
    </row>
    <row r="3" spans="1:8" x14ac:dyDescent="0.4">
      <c r="A3" s="38" t="s">
        <v>183</v>
      </c>
      <c r="B3" s="38"/>
      <c r="C3" s="38"/>
      <c r="D3" s="39"/>
      <c r="E3" s="39"/>
      <c r="F3" s="39"/>
      <c r="G3" s="39"/>
    </row>
    <row r="4" spans="1:8" x14ac:dyDescent="0.4">
      <c r="A4" s="3"/>
      <c r="B4" s="3"/>
      <c r="C4" s="3"/>
    </row>
    <row r="5" spans="1:8" x14ac:dyDescent="0.4">
      <c r="A5" s="3" t="s">
        <v>1</v>
      </c>
      <c r="B5" s="3" t="s">
        <v>2</v>
      </c>
      <c r="C5" s="3" t="s">
        <v>29</v>
      </c>
      <c r="D5" t="s">
        <v>180</v>
      </c>
      <c r="E5" s="5" t="s">
        <v>181</v>
      </c>
    </row>
    <row r="6" spans="1:8" x14ac:dyDescent="0.4">
      <c r="A6">
        <v>2017</v>
      </c>
      <c r="B6" t="s">
        <v>31</v>
      </c>
      <c r="C6">
        <v>130.30000000000001</v>
      </c>
      <c r="D6">
        <v>126.3</v>
      </c>
      <c r="E6" s="5">
        <f>(C6-D6)/D6</f>
        <v>3.1670625494853638E-2</v>
      </c>
      <c r="G6" s="2" t="s">
        <v>167</v>
      </c>
      <c r="H6" s="5" t="s">
        <v>182</v>
      </c>
    </row>
    <row r="7" spans="1:8" x14ac:dyDescent="0.4">
      <c r="A7">
        <v>2017</v>
      </c>
      <c r="B7" t="s">
        <v>36</v>
      </c>
      <c r="C7">
        <v>130.6</v>
      </c>
      <c r="D7">
        <v>126</v>
      </c>
      <c r="E7" s="5">
        <f t="shared" ref="E7:E70" si="0">(C7-D7)/D7</f>
        <v>3.6507936507936462E-2</v>
      </c>
      <c r="G7" s="3">
        <v>2017</v>
      </c>
      <c r="H7" s="5">
        <v>3.327388537536536E-2</v>
      </c>
    </row>
    <row r="8" spans="1:8" x14ac:dyDescent="0.4">
      <c r="A8">
        <v>2017</v>
      </c>
      <c r="B8" t="s">
        <v>38</v>
      </c>
      <c r="C8">
        <v>130.9</v>
      </c>
      <c r="D8">
        <v>126</v>
      </c>
      <c r="E8" s="5">
        <f t="shared" si="0"/>
        <v>3.8888888888888931E-2</v>
      </c>
      <c r="G8" s="3">
        <v>2018</v>
      </c>
      <c r="H8" s="5">
        <v>3.9676971910429099E-2</v>
      </c>
    </row>
    <row r="9" spans="1:8" x14ac:dyDescent="0.4">
      <c r="A9">
        <v>2017</v>
      </c>
      <c r="B9" t="s">
        <v>39</v>
      </c>
      <c r="C9">
        <v>131.1</v>
      </c>
      <c r="D9">
        <v>127.3</v>
      </c>
      <c r="E9" s="5">
        <f t="shared" si="0"/>
        <v>2.9850746268656695E-2</v>
      </c>
      <c r="G9" s="3">
        <v>2019</v>
      </c>
      <c r="H9" s="5">
        <v>3.9729559917622899E-2</v>
      </c>
    </row>
    <row r="10" spans="1:8" x14ac:dyDescent="0.4">
      <c r="A10">
        <v>2017</v>
      </c>
      <c r="B10" t="s">
        <v>41</v>
      </c>
      <c r="C10">
        <v>131.4</v>
      </c>
      <c r="D10">
        <v>128.6</v>
      </c>
      <c r="E10" s="5">
        <f t="shared" si="0"/>
        <v>2.1772939346811911E-2</v>
      </c>
      <c r="G10" s="3">
        <v>2020</v>
      </c>
      <c r="H10" s="5">
        <v>6.2683916915873564E-2</v>
      </c>
    </row>
    <row r="11" spans="1:8" x14ac:dyDescent="0.4">
      <c r="A11">
        <v>2017</v>
      </c>
      <c r="B11" t="s">
        <v>42</v>
      </c>
      <c r="C11">
        <v>132</v>
      </c>
      <c r="D11">
        <v>130.1</v>
      </c>
      <c r="E11" s="5">
        <f t="shared" si="0"/>
        <v>1.4604150653343625E-2</v>
      </c>
      <c r="G11" s="3">
        <v>2021</v>
      </c>
      <c r="H11" s="5">
        <v>5.6349618572825173E-2</v>
      </c>
    </row>
    <row r="12" spans="1:8" x14ac:dyDescent="0.4">
      <c r="A12">
        <v>2017</v>
      </c>
      <c r="B12" t="s">
        <v>44</v>
      </c>
      <c r="C12">
        <v>134.19999999999999</v>
      </c>
      <c r="D12">
        <v>131.1</v>
      </c>
      <c r="E12" s="5">
        <f t="shared" si="0"/>
        <v>2.3646071700991568E-2</v>
      </c>
      <c r="G12" s="3">
        <v>2022</v>
      </c>
      <c r="H12" s="5">
        <v>6.6240649804989227E-2</v>
      </c>
    </row>
    <row r="13" spans="1:8" x14ac:dyDescent="0.4">
      <c r="A13">
        <v>2017</v>
      </c>
      <c r="B13" t="s">
        <v>46</v>
      </c>
      <c r="C13">
        <v>135.4</v>
      </c>
      <c r="D13">
        <v>131.1</v>
      </c>
      <c r="E13" s="5">
        <f t="shared" si="0"/>
        <v>3.2799389778794902E-2</v>
      </c>
      <c r="G13" s="3">
        <v>2023</v>
      </c>
      <c r="H13" s="5">
        <v>5.5756721664536081E-2</v>
      </c>
    </row>
    <row r="14" spans="1:8" x14ac:dyDescent="0.4">
      <c r="A14">
        <v>2017</v>
      </c>
      <c r="B14" t="s">
        <v>48</v>
      </c>
      <c r="C14">
        <v>135.19999999999999</v>
      </c>
      <c r="D14">
        <v>130.9</v>
      </c>
      <c r="E14" s="5">
        <f t="shared" si="0"/>
        <v>3.2849503437738597E-2</v>
      </c>
      <c r="H14"/>
    </row>
    <row r="15" spans="1:8" x14ac:dyDescent="0.4">
      <c r="A15">
        <v>2017</v>
      </c>
      <c r="B15" t="s">
        <v>50</v>
      </c>
      <c r="C15">
        <v>136.1</v>
      </c>
      <c r="D15">
        <v>131.4</v>
      </c>
      <c r="E15" s="5">
        <f t="shared" si="0"/>
        <v>3.5768645357686368E-2</v>
      </c>
    </row>
    <row r="16" spans="1:8" x14ac:dyDescent="0.4">
      <c r="A16">
        <v>2017</v>
      </c>
      <c r="B16" t="s">
        <v>53</v>
      </c>
      <c r="C16">
        <v>137.6</v>
      </c>
      <c r="D16">
        <v>131.19999999999999</v>
      </c>
      <c r="E16" s="5">
        <f t="shared" si="0"/>
        <v>4.8780487804878099E-2</v>
      </c>
      <c r="G16" s="3"/>
    </row>
    <row r="17" spans="1:5" x14ac:dyDescent="0.4">
      <c r="A17">
        <v>2017</v>
      </c>
      <c r="B17" t="s">
        <v>55</v>
      </c>
      <c r="C17">
        <v>137.19999999999999</v>
      </c>
      <c r="D17">
        <v>130.4</v>
      </c>
      <c r="E17" s="5">
        <f t="shared" si="0"/>
        <v>5.2147239263803546E-2</v>
      </c>
    </row>
    <row r="18" spans="1:5" x14ac:dyDescent="0.4">
      <c r="A18">
        <v>2018</v>
      </c>
      <c r="B18" t="s">
        <v>31</v>
      </c>
      <c r="C18">
        <v>136.9</v>
      </c>
      <c r="D18">
        <v>130.30000000000001</v>
      </c>
      <c r="E18" s="5">
        <f t="shared" si="0"/>
        <v>5.0652340752110468E-2</v>
      </c>
    </row>
    <row r="19" spans="1:5" x14ac:dyDescent="0.4">
      <c r="A19">
        <v>2018</v>
      </c>
      <c r="B19" t="s">
        <v>36</v>
      </c>
      <c r="C19">
        <v>136.4</v>
      </c>
      <c r="D19">
        <v>130.6</v>
      </c>
      <c r="E19" s="5">
        <f t="shared" si="0"/>
        <v>4.441041347626349E-2</v>
      </c>
    </row>
    <row r="20" spans="1:5" x14ac:dyDescent="0.4">
      <c r="A20">
        <v>2018</v>
      </c>
      <c r="B20" t="s">
        <v>38</v>
      </c>
      <c r="C20">
        <v>136.5</v>
      </c>
      <c r="D20">
        <v>130.9</v>
      </c>
      <c r="E20" s="5">
        <f t="shared" si="0"/>
        <v>4.278074866310156E-2</v>
      </c>
    </row>
    <row r="21" spans="1:5" x14ac:dyDescent="0.4">
      <c r="A21">
        <v>2018</v>
      </c>
      <c r="B21" t="s">
        <v>39</v>
      </c>
      <c r="C21">
        <v>137.1</v>
      </c>
      <c r="D21">
        <v>131.1</v>
      </c>
      <c r="E21" s="5">
        <f t="shared" si="0"/>
        <v>4.5766590389016024E-2</v>
      </c>
    </row>
    <row r="22" spans="1:5" x14ac:dyDescent="0.4">
      <c r="A22">
        <v>2018</v>
      </c>
      <c r="B22" t="s">
        <v>41</v>
      </c>
      <c r="C22">
        <v>137.80000000000001</v>
      </c>
      <c r="D22">
        <v>131.4</v>
      </c>
      <c r="E22" s="5">
        <f t="shared" si="0"/>
        <v>4.8706240487062444E-2</v>
      </c>
    </row>
    <row r="23" spans="1:5" x14ac:dyDescent="0.4">
      <c r="A23">
        <v>2018</v>
      </c>
      <c r="B23" t="s">
        <v>42</v>
      </c>
      <c r="C23">
        <v>138.5</v>
      </c>
      <c r="D23">
        <v>132</v>
      </c>
      <c r="E23" s="5">
        <f t="shared" si="0"/>
        <v>4.924242424242424E-2</v>
      </c>
    </row>
    <row r="24" spans="1:5" x14ac:dyDescent="0.4">
      <c r="A24">
        <v>2018</v>
      </c>
      <c r="B24" t="s">
        <v>44</v>
      </c>
      <c r="C24">
        <v>139.80000000000001</v>
      </c>
      <c r="D24">
        <v>134.19999999999999</v>
      </c>
      <c r="E24" s="5">
        <f t="shared" si="0"/>
        <v>4.172876304023862E-2</v>
      </c>
    </row>
    <row r="25" spans="1:5" x14ac:dyDescent="0.4">
      <c r="A25">
        <v>2018</v>
      </c>
      <c r="B25" t="s">
        <v>46</v>
      </c>
      <c r="C25">
        <v>140.4</v>
      </c>
      <c r="D25">
        <v>135.4</v>
      </c>
      <c r="E25" s="5">
        <f t="shared" si="0"/>
        <v>3.6927621861152143E-2</v>
      </c>
    </row>
    <row r="26" spans="1:5" x14ac:dyDescent="0.4">
      <c r="A26">
        <v>2018</v>
      </c>
      <c r="B26" t="s">
        <v>48</v>
      </c>
      <c r="C26">
        <v>140.19999999999999</v>
      </c>
      <c r="D26">
        <v>135.19999999999999</v>
      </c>
      <c r="E26" s="5">
        <f t="shared" si="0"/>
        <v>3.6982248520710061E-2</v>
      </c>
    </row>
    <row r="27" spans="1:5" x14ac:dyDescent="0.4">
      <c r="A27">
        <v>2018</v>
      </c>
      <c r="B27" t="s">
        <v>50</v>
      </c>
      <c r="C27">
        <v>140.80000000000001</v>
      </c>
      <c r="D27">
        <v>136.1</v>
      </c>
      <c r="E27" s="5">
        <f t="shared" si="0"/>
        <v>3.4533431300514457E-2</v>
      </c>
    </row>
    <row r="28" spans="1:5" x14ac:dyDescent="0.4">
      <c r="A28">
        <v>2018</v>
      </c>
      <c r="B28" t="s">
        <v>53</v>
      </c>
      <c r="C28">
        <v>140.80000000000001</v>
      </c>
      <c r="D28">
        <v>137.6</v>
      </c>
      <c r="E28" s="5">
        <f t="shared" si="0"/>
        <v>2.3255813953488497E-2</v>
      </c>
    </row>
    <row r="29" spans="1:5" x14ac:dyDescent="0.4">
      <c r="A29">
        <v>2018</v>
      </c>
      <c r="B29" t="s">
        <v>55</v>
      </c>
      <c r="C29">
        <v>140.1</v>
      </c>
      <c r="D29">
        <v>137.19999999999999</v>
      </c>
      <c r="E29" s="5">
        <f t="shared" si="0"/>
        <v>2.1137026239067099E-2</v>
      </c>
    </row>
    <row r="30" spans="1:5" x14ac:dyDescent="0.4">
      <c r="A30">
        <v>2019</v>
      </c>
      <c r="B30" t="s">
        <v>31</v>
      </c>
      <c r="C30">
        <v>139.6</v>
      </c>
      <c r="D30">
        <v>136.9</v>
      </c>
      <c r="E30" s="5">
        <f t="shared" si="0"/>
        <v>1.9722425127830449E-2</v>
      </c>
    </row>
    <row r="31" spans="1:5" x14ac:dyDescent="0.4">
      <c r="A31">
        <v>2019</v>
      </c>
      <c r="B31" t="s">
        <v>36</v>
      </c>
      <c r="C31">
        <v>139.9</v>
      </c>
      <c r="D31">
        <v>136.4</v>
      </c>
      <c r="E31" s="5">
        <f t="shared" si="0"/>
        <v>2.5659824046920819E-2</v>
      </c>
    </row>
    <row r="32" spans="1:5" x14ac:dyDescent="0.4">
      <c r="A32">
        <v>2019</v>
      </c>
      <c r="B32" t="s">
        <v>38</v>
      </c>
      <c r="C32">
        <v>140.4</v>
      </c>
      <c r="D32">
        <v>136.5</v>
      </c>
      <c r="E32" s="5">
        <f t="shared" si="0"/>
        <v>2.8571428571428612E-2</v>
      </c>
    </row>
    <row r="33" spans="1:5" x14ac:dyDescent="0.4">
      <c r="A33">
        <v>2019</v>
      </c>
      <c r="B33" t="s">
        <v>41</v>
      </c>
      <c r="C33">
        <v>142</v>
      </c>
      <c r="D33">
        <v>137.1</v>
      </c>
      <c r="E33" s="5">
        <f t="shared" si="0"/>
        <v>3.5740335521517182E-2</v>
      </c>
    </row>
    <row r="34" spans="1:5" x14ac:dyDescent="0.4">
      <c r="A34">
        <v>2019</v>
      </c>
      <c r="B34" t="s">
        <v>42</v>
      </c>
      <c r="C34">
        <v>142.9</v>
      </c>
      <c r="D34">
        <v>137.80000000000001</v>
      </c>
      <c r="E34" s="5">
        <f t="shared" si="0"/>
        <v>3.7010159651669039E-2</v>
      </c>
    </row>
    <row r="35" spans="1:5" x14ac:dyDescent="0.4">
      <c r="A35">
        <v>2019</v>
      </c>
      <c r="B35" t="s">
        <v>44</v>
      </c>
      <c r="C35">
        <v>144.19999999999999</v>
      </c>
      <c r="D35">
        <v>138.5</v>
      </c>
      <c r="E35" s="5">
        <f t="shared" si="0"/>
        <v>4.115523465703963E-2</v>
      </c>
    </row>
    <row r="36" spans="1:5" x14ac:dyDescent="0.4">
      <c r="A36">
        <v>2019</v>
      </c>
      <c r="B36" t="s">
        <v>46</v>
      </c>
      <c r="C36">
        <v>145</v>
      </c>
      <c r="D36">
        <v>139.80000000000001</v>
      </c>
      <c r="E36" s="5">
        <f t="shared" si="0"/>
        <v>3.7195994277539259E-2</v>
      </c>
    </row>
    <row r="37" spans="1:5" x14ac:dyDescent="0.4">
      <c r="A37">
        <v>2019</v>
      </c>
      <c r="B37" t="s">
        <v>48</v>
      </c>
      <c r="C37">
        <v>145.80000000000001</v>
      </c>
      <c r="D37">
        <v>140.4</v>
      </c>
      <c r="E37" s="5">
        <f t="shared" si="0"/>
        <v>3.8461538461538498E-2</v>
      </c>
    </row>
    <row r="38" spans="1:5" x14ac:dyDescent="0.4">
      <c r="A38">
        <v>2019</v>
      </c>
      <c r="B38" t="s">
        <v>50</v>
      </c>
      <c r="C38">
        <v>147.19999999999999</v>
      </c>
      <c r="D38">
        <v>140.19999999999999</v>
      </c>
      <c r="E38" s="5">
        <f t="shared" si="0"/>
        <v>4.9928673323823114E-2</v>
      </c>
    </row>
    <row r="39" spans="1:5" x14ac:dyDescent="0.4">
      <c r="A39">
        <v>2019</v>
      </c>
      <c r="B39" t="s">
        <v>53</v>
      </c>
      <c r="C39">
        <v>148.6</v>
      </c>
      <c r="D39">
        <v>140.80000000000001</v>
      </c>
      <c r="E39" s="5">
        <f t="shared" si="0"/>
        <v>5.5397727272727147E-2</v>
      </c>
    </row>
    <row r="40" spans="1:5" x14ac:dyDescent="0.4">
      <c r="A40">
        <v>2019</v>
      </c>
      <c r="B40" t="s">
        <v>55</v>
      </c>
      <c r="C40">
        <v>150.4</v>
      </c>
      <c r="D40">
        <v>140.80000000000001</v>
      </c>
      <c r="E40" s="5">
        <f t="shared" si="0"/>
        <v>6.8181818181818135E-2</v>
      </c>
    </row>
    <row r="41" spans="1:5" x14ac:dyDescent="0.4">
      <c r="A41">
        <v>2020</v>
      </c>
      <c r="B41" t="s">
        <v>31</v>
      </c>
      <c r="C41">
        <v>150.19999999999999</v>
      </c>
      <c r="D41">
        <v>140.1</v>
      </c>
      <c r="E41" s="5">
        <f t="shared" si="0"/>
        <v>7.2091363311920023E-2</v>
      </c>
    </row>
    <row r="42" spans="1:5" x14ac:dyDescent="0.4">
      <c r="A42">
        <v>2020</v>
      </c>
      <c r="B42" t="s">
        <v>36</v>
      </c>
      <c r="C42">
        <v>149.1</v>
      </c>
      <c r="D42">
        <v>139.6</v>
      </c>
      <c r="E42" s="5">
        <f t="shared" si="0"/>
        <v>6.8051575931232094E-2</v>
      </c>
    </row>
    <row r="43" spans="1:5" x14ac:dyDescent="0.4">
      <c r="A43">
        <v>2020</v>
      </c>
      <c r="B43" t="s">
        <v>38</v>
      </c>
      <c r="C43">
        <v>148.6</v>
      </c>
      <c r="D43">
        <v>139.9</v>
      </c>
      <c r="E43" s="5">
        <f t="shared" si="0"/>
        <v>6.2187276626161463E-2</v>
      </c>
    </row>
    <row r="44" spans="1:5" x14ac:dyDescent="0.4">
      <c r="A44">
        <v>2020</v>
      </c>
      <c r="B44" t="s">
        <v>39</v>
      </c>
      <c r="C44">
        <v>149.66666666666666</v>
      </c>
      <c r="D44">
        <v>140.4</v>
      </c>
      <c r="E44" s="5">
        <f t="shared" si="0"/>
        <v>6.6001899335232553E-2</v>
      </c>
    </row>
    <row r="45" spans="1:5" x14ac:dyDescent="0.4">
      <c r="A45">
        <v>2020</v>
      </c>
      <c r="B45" t="s">
        <v>41</v>
      </c>
      <c r="C45">
        <v>150.73333333333335</v>
      </c>
      <c r="D45">
        <v>142</v>
      </c>
      <c r="E45" s="5">
        <f t="shared" si="0"/>
        <v>6.1502347417840483E-2</v>
      </c>
    </row>
    <row r="46" spans="1:5" x14ac:dyDescent="0.4">
      <c r="A46">
        <v>2020</v>
      </c>
      <c r="B46" t="s">
        <v>42</v>
      </c>
      <c r="C46">
        <v>151.80000000000001</v>
      </c>
      <c r="D46">
        <v>142.9</v>
      </c>
      <c r="E46" s="5">
        <f t="shared" si="0"/>
        <v>6.2281315605318445E-2</v>
      </c>
    </row>
    <row r="47" spans="1:5" x14ac:dyDescent="0.4">
      <c r="A47">
        <v>2020</v>
      </c>
      <c r="B47" t="s">
        <v>44</v>
      </c>
      <c r="C47">
        <v>151.80000000000001</v>
      </c>
      <c r="D47">
        <v>144.19999999999999</v>
      </c>
      <c r="E47" s="5">
        <f t="shared" si="0"/>
        <v>5.2704576976421801E-2</v>
      </c>
    </row>
    <row r="48" spans="1:5" x14ac:dyDescent="0.4">
      <c r="A48">
        <v>2020</v>
      </c>
      <c r="B48" t="s">
        <v>46</v>
      </c>
      <c r="C48">
        <v>153.9</v>
      </c>
      <c r="D48">
        <v>145</v>
      </c>
      <c r="E48" s="5">
        <f t="shared" si="0"/>
        <v>6.1379310344827624E-2</v>
      </c>
    </row>
    <row r="49" spans="1:5" x14ac:dyDescent="0.4">
      <c r="A49">
        <v>2020</v>
      </c>
      <c r="B49" t="s">
        <v>48</v>
      </c>
      <c r="C49">
        <v>154.69999999999999</v>
      </c>
      <c r="D49">
        <v>145.80000000000001</v>
      </c>
      <c r="E49" s="5">
        <f t="shared" si="0"/>
        <v>6.1042524005486806E-2</v>
      </c>
    </row>
    <row r="50" spans="1:5" x14ac:dyDescent="0.4">
      <c r="A50">
        <v>2020</v>
      </c>
      <c r="B50" t="s">
        <v>50</v>
      </c>
      <c r="C50">
        <v>156.4</v>
      </c>
      <c r="D50">
        <v>147.19999999999999</v>
      </c>
      <c r="E50" s="5">
        <f t="shared" si="0"/>
        <v>6.2500000000000125E-2</v>
      </c>
    </row>
    <row r="51" spans="1:5" x14ac:dyDescent="0.4">
      <c r="A51">
        <v>2020</v>
      </c>
      <c r="B51" t="s">
        <v>53</v>
      </c>
      <c r="C51">
        <v>158.4</v>
      </c>
      <c r="D51">
        <v>148.6</v>
      </c>
      <c r="E51" s="5">
        <f t="shared" si="0"/>
        <v>6.5948855989232918E-2</v>
      </c>
    </row>
    <row r="52" spans="1:5" x14ac:dyDescent="0.4">
      <c r="A52">
        <v>2020</v>
      </c>
      <c r="B52" t="s">
        <v>55</v>
      </c>
      <c r="C52">
        <v>158.9</v>
      </c>
      <c r="D52">
        <v>150.4</v>
      </c>
      <c r="E52" s="5">
        <f t="shared" si="0"/>
        <v>5.6515957446808505E-2</v>
      </c>
    </row>
    <row r="53" spans="1:5" x14ac:dyDescent="0.4">
      <c r="A53">
        <v>2021</v>
      </c>
      <c r="B53" t="s">
        <v>31</v>
      </c>
      <c r="C53">
        <v>157.30000000000001</v>
      </c>
      <c r="D53">
        <v>150.19999999999999</v>
      </c>
      <c r="E53" s="5">
        <f t="shared" si="0"/>
        <v>4.7270306258322389E-2</v>
      </c>
    </row>
    <row r="54" spans="1:5" x14ac:dyDescent="0.4">
      <c r="A54">
        <v>2021</v>
      </c>
      <c r="B54" t="s">
        <v>36</v>
      </c>
      <c r="C54">
        <v>156.6</v>
      </c>
      <c r="D54">
        <v>149.1</v>
      </c>
      <c r="E54" s="5">
        <f t="shared" si="0"/>
        <v>5.030181086519115E-2</v>
      </c>
    </row>
    <row r="55" spans="1:5" x14ac:dyDescent="0.4">
      <c r="A55">
        <v>2021</v>
      </c>
      <c r="B55" t="s">
        <v>38</v>
      </c>
      <c r="C55">
        <v>156.80000000000001</v>
      </c>
      <c r="D55">
        <v>148.6</v>
      </c>
      <c r="E55" s="5">
        <f t="shared" si="0"/>
        <v>5.5181695827725558E-2</v>
      </c>
    </row>
    <row r="56" spans="1:5" x14ac:dyDescent="0.4">
      <c r="A56">
        <v>2021</v>
      </c>
      <c r="B56" t="s">
        <v>39</v>
      </c>
      <c r="C56">
        <v>157.80000000000001</v>
      </c>
      <c r="D56">
        <v>149.66666666666666</v>
      </c>
      <c r="E56" s="5">
        <f t="shared" si="0"/>
        <v>5.4342984409799698E-2</v>
      </c>
    </row>
    <row r="57" spans="1:5" x14ac:dyDescent="0.4">
      <c r="A57">
        <v>2021</v>
      </c>
      <c r="B57" t="s">
        <v>41</v>
      </c>
      <c r="C57">
        <v>160.4</v>
      </c>
      <c r="D57">
        <v>150.73333333333335</v>
      </c>
      <c r="E57" s="5">
        <f t="shared" si="0"/>
        <v>6.4130915524104312E-2</v>
      </c>
    </row>
    <row r="58" spans="1:5" x14ac:dyDescent="0.4">
      <c r="A58">
        <v>2021</v>
      </c>
      <c r="B58" t="s">
        <v>42</v>
      </c>
      <c r="C58">
        <v>161.30000000000001</v>
      </c>
      <c r="D58">
        <v>151.80000000000001</v>
      </c>
      <c r="E58" s="5">
        <f t="shared" si="0"/>
        <v>6.2582345191040833E-2</v>
      </c>
    </row>
    <row r="59" spans="1:5" x14ac:dyDescent="0.4">
      <c r="A59">
        <v>2021</v>
      </c>
      <c r="B59" t="s">
        <v>44</v>
      </c>
      <c r="C59">
        <v>162.5</v>
      </c>
      <c r="D59">
        <v>151.80000000000001</v>
      </c>
      <c r="E59" s="5">
        <f t="shared" si="0"/>
        <v>7.0487483530961709E-2</v>
      </c>
    </row>
    <row r="60" spans="1:5" x14ac:dyDescent="0.4">
      <c r="A60">
        <v>2021</v>
      </c>
      <c r="B60" t="s">
        <v>46</v>
      </c>
      <c r="C60">
        <v>163.19999999999999</v>
      </c>
      <c r="D60">
        <v>153.9</v>
      </c>
      <c r="E60" s="5">
        <f t="shared" si="0"/>
        <v>6.0428849902533999E-2</v>
      </c>
    </row>
    <row r="61" spans="1:5" x14ac:dyDescent="0.4">
      <c r="A61">
        <v>2021</v>
      </c>
      <c r="B61" t="s">
        <v>48</v>
      </c>
      <c r="C61">
        <v>163.19999999999999</v>
      </c>
      <c r="D61">
        <v>154.69999999999999</v>
      </c>
      <c r="E61" s="5">
        <f t="shared" si="0"/>
        <v>5.4945054945054951E-2</v>
      </c>
    </row>
    <row r="62" spans="1:5" x14ac:dyDescent="0.4">
      <c r="A62">
        <v>2021</v>
      </c>
      <c r="B62" t="s">
        <v>50</v>
      </c>
      <c r="C62">
        <v>165.5</v>
      </c>
      <c r="D62">
        <v>156.4</v>
      </c>
      <c r="E62" s="5">
        <f t="shared" si="0"/>
        <v>5.8184143222506354E-2</v>
      </c>
    </row>
    <row r="63" spans="1:5" x14ac:dyDescent="0.4">
      <c r="A63">
        <v>2021</v>
      </c>
      <c r="B63" t="s">
        <v>53</v>
      </c>
      <c r="C63">
        <v>166.7</v>
      </c>
      <c r="D63">
        <v>158.4</v>
      </c>
      <c r="E63" s="5">
        <f t="shared" si="0"/>
        <v>5.2398989898989792E-2</v>
      </c>
    </row>
    <row r="64" spans="1:5" x14ac:dyDescent="0.4">
      <c r="A64">
        <v>2021</v>
      </c>
      <c r="B64" t="s">
        <v>55</v>
      </c>
      <c r="C64">
        <v>166.2</v>
      </c>
      <c r="D64">
        <v>158.9</v>
      </c>
      <c r="E64" s="5">
        <f t="shared" si="0"/>
        <v>4.5940843297671383E-2</v>
      </c>
    </row>
    <row r="65" spans="1:5" x14ac:dyDescent="0.4">
      <c r="A65">
        <v>2022</v>
      </c>
      <c r="B65" t="s">
        <v>31</v>
      </c>
      <c r="C65">
        <v>165.7</v>
      </c>
      <c r="D65">
        <v>157.30000000000001</v>
      </c>
      <c r="E65" s="5">
        <f t="shared" si="0"/>
        <v>5.3401144310235071E-2</v>
      </c>
    </row>
    <row r="66" spans="1:5" x14ac:dyDescent="0.4">
      <c r="A66">
        <v>2022</v>
      </c>
      <c r="B66" t="s">
        <v>36</v>
      </c>
      <c r="C66">
        <v>166.1</v>
      </c>
      <c r="D66">
        <v>156.6</v>
      </c>
      <c r="E66" s="5">
        <f t="shared" si="0"/>
        <v>6.066411238825032E-2</v>
      </c>
    </row>
    <row r="67" spans="1:5" x14ac:dyDescent="0.4">
      <c r="A67">
        <v>2022</v>
      </c>
      <c r="B67" t="s">
        <v>38</v>
      </c>
      <c r="C67">
        <v>167.7</v>
      </c>
      <c r="D67">
        <v>156.80000000000001</v>
      </c>
      <c r="E67" s="5">
        <f t="shared" si="0"/>
        <v>6.9515306122448828E-2</v>
      </c>
    </row>
    <row r="68" spans="1:5" x14ac:dyDescent="0.4">
      <c r="A68">
        <v>2022</v>
      </c>
      <c r="B68" t="s">
        <v>39</v>
      </c>
      <c r="C68">
        <v>170.1</v>
      </c>
      <c r="D68">
        <v>157.80000000000001</v>
      </c>
      <c r="E68" s="5">
        <f t="shared" si="0"/>
        <v>7.7946768060836391E-2</v>
      </c>
    </row>
    <row r="69" spans="1:5" x14ac:dyDescent="0.4">
      <c r="A69">
        <v>2022</v>
      </c>
      <c r="B69" t="s">
        <v>41</v>
      </c>
      <c r="C69">
        <v>171.7</v>
      </c>
      <c r="D69">
        <v>160.4</v>
      </c>
      <c r="E69" s="5">
        <f t="shared" si="0"/>
        <v>7.0448877805486171E-2</v>
      </c>
    </row>
    <row r="70" spans="1:5" x14ac:dyDescent="0.4">
      <c r="A70">
        <v>2022</v>
      </c>
      <c r="B70" t="s">
        <v>42</v>
      </c>
      <c r="C70">
        <v>172.6</v>
      </c>
      <c r="D70">
        <v>161.30000000000001</v>
      </c>
      <c r="E70" s="5">
        <f t="shared" si="0"/>
        <v>7.0055796652200755E-2</v>
      </c>
    </row>
    <row r="71" spans="1:5" x14ac:dyDescent="0.4">
      <c r="A71">
        <v>2022</v>
      </c>
      <c r="B71" t="s">
        <v>44</v>
      </c>
      <c r="C71">
        <v>173.4</v>
      </c>
      <c r="D71">
        <v>162.5</v>
      </c>
      <c r="E71" s="5">
        <f t="shared" ref="E71:E81" si="1">(C71-D71)/D71</f>
        <v>6.7076923076923117E-2</v>
      </c>
    </row>
    <row r="72" spans="1:5" x14ac:dyDescent="0.4">
      <c r="A72">
        <v>2022</v>
      </c>
      <c r="B72" t="s">
        <v>46</v>
      </c>
      <c r="C72">
        <v>174.3</v>
      </c>
      <c r="D72">
        <v>163.19999999999999</v>
      </c>
      <c r="E72" s="5">
        <f t="shared" si="1"/>
        <v>6.8014705882353088E-2</v>
      </c>
    </row>
    <row r="73" spans="1:5" x14ac:dyDescent="0.4">
      <c r="A73">
        <v>2022</v>
      </c>
      <c r="B73" t="s">
        <v>48</v>
      </c>
      <c r="C73">
        <v>175.3</v>
      </c>
      <c r="D73">
        <v>163.19999999999999</v>
      </c>
      <c r="E73" s="5">
        <f t="shared" si="1"/>
        <v>7.4142156862745237E-2</v>
      </c>
    </row>
    <row r="74" spans="1:5" x14ac:dyDescent="0.4">
      <c r="A74">
        <v>2022</v>
      </c>
      <c r="B74" t="s">
        <v>50</v>
      </c>
      <c r="C74">
        <v>176.7</v>
      </c>
      <c r="D74">
        <v>165.5</v>
      </c>
      <c r="E74" s="5">
        <f t="shared" si="1"/>
        <v>6.7673716012084523E-2</v>
      </c>
    </row>
    <row r="75" spans="1:5" x14ac:dyDescent="0.4">
      <c r="A75">
        <v>2022</v>
      </c>
      <c r="B75" t="s">
        <v>53</v>
      </c>
      <c r="C75">
        <v>176.5</v>
      </c>
      <c r="D75">
        <v>166.7</v>
      </c>
      <c r="E75" s="5">
        <f t="shared" si="1"/>
        <v>5.8788242351529768E-2</v>
      </c>
    </row>
    <row r="76" spans="1:5" x14ac:dyDescent="0.4">
      <c r="A76">
        <v>2022</v>
      </c>
      <c r="B76" t="s">
        <v>55</v>
      </c>
      <c r="C76">
        <v>175.7</v>
      </c>
      <c r="D76">
        <v>166.2</v>
      </c>
      <c r="E76" s="5">
        <f t="shared" si="1"/>
        <v>5.7160048134777382E-2</v>
      </c>
    </row>
    <row r="77" spans="1:5" x14ac:dyDescent="0.4">
      <c r="A77">
        <v>2023</v>
      </c>
      <c r="B77" t="s">
        <v>31</v>
      </c>
      <c r="C77">
        <v>176.5</v>
      </c>
      <c r="D77">
        <v>165.7</v>
      </c>
      <c r="E77" s="5">
        <f t="shared" si="1"/>
        <v>6.5178032589016374E-2</v>
      </c>
    </row>
    <row r="78" spans="1:5" x14ac:dyDescent="0.4">
      <c r="A78">
        <v>2023</v>
      </c>
      <c r="B78" t="s">
        <v>36</v>
      </c>
      <c r="C78">
        <v>177.2</v>
      </c>
      <c r="D78">
        <v>166.1</v>
      </c>
      <c r="E78" s="5">
        <f t="shared" si="1"/>
        <v>6.6827212522576729E-2</v>
      </c>
    </row>
    <row r="79" spans="1:5" x14ac:dyDescent="0.4">
      <c r="A79">
        <v>2023</v>
      </c>
      <c r="B79" t="s">
        <v>38</v>
      </c>
      <c r="C79">
        <v>177.2</v>
      </c>
      <c r="D79">
        <v>167.7</v>
      </c>
      <c r="E79" s="5">
        <f t="shared" si="1"/>
        <v>5.6648777579010143E-2</v>
      </c>
    </row>
    <row r="80" spans="1:5" x14ac:dyDescent="0.4">
      <c r="A80">
        <v>2023</v>
      </c>
      <c r="B80" t="s">
        <v>39</v>
      </c>
      <c r="C80">
        <v>178.1</v>
      </c>
      <c r="D80">
        <v>170.1</v>
      </c>
      <c r="E80" s="5">
        <f t="shared" si="1"/>
        <v>4.7031158142269255E-2</v>
      </c>
    </row>
    <row r="81" spans="1:5" x14ac:dyDescent="0.4">
      <c r="A81">
        <v>2023</v>
      </c>
      <c r="B81" t="s">
        <v>41</v>
      </c>
      <c r="C81">
        <v>179.1</v>
      </c>
      <c r="D81">
        <v>171.7</v>
      </c>
      <c r="E81" s="5">
        <f t="shared" si="1"/>
        <v>4.3098427489807842E-2</v>
      </c>
    </row>
  </sheetData>
  <mergeCells count="1">
    <mergeCell ref="A1:G1"/>
  </mergeCells>
  <conditionalFormatting pivot="1" sqref="H7:H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I6" sqref="I6"/>
    </sheetView>
  </sheetViews>
  <sheetFormatPr defaultRowHeight="21" x14ac:dyDescent="0.4"/>
  <cols>
    <col min="1" max="1" width="16.42578125" customWidth="1"/>
    <col min="2" max="2" width="11.78515625" bestFit="1" customWidth="1"/>
    <col min="3" max="3" width="13.35546875" style="5" customWidth="1"/>
    <col min="5" max="5" width="17" customWidth="1"/>
    <col min="7" max="7" width="24.42578125" customWidth="1"/>
  </cols>
  <sheetData>
    <row r="1" spans="1:7" x14ac:dyDescent="0.4">
      <c r="A1" s="43" t="s">
        <v>173</v>
      </c>
      <c r="B1" s="43"/>
      <c r="C1" s="43"/>
      <c r="D1" s="43"/>
      <c r="E1" s="43"/>
      <c r="F1" s="43"/>
      <c r="G1" s="43"/>
    </row>
    <row r="2" spans="1:7" x14ac:dyDescent="0.4">
      <c r="A2" s="42" t="s">
        <v>226</v>
      </c>
      <c r="B2" s="42"/>
      <c r="C2" s="42"/>
      <c r="D2" s="42"/>
      <c r="E2" s="42"/>
      <c r="F2" s="42"/>
      <c r="G2" s="42"/>
    </row>
    <row r="3" spans="1:7" s="12" customFormat="1" x14ac:dyDescent="0.4">
      <c r="A3" s="11"/>
      <c r="B3" s="11"/>
      <c r="C3" s="11"/>
      <c r="D3" s="11"/>
      <c r="E3" s="11"/>
      <c r="F3" s="11"/>
      <c r="G3" s="11"/>
    </row>
    <row r="4" spans="1:7" x14ac:dyDescent="0.4">
      <c r="A4" s="7" t="s">
        <v>174</v>
      </c>
      <c r="B4" s="7" t="s">
        <v>175</v>
      </c>
      <c r="C4" s="8" t="s">
        <v>176</v>
      </c>
    </row>
    <row r="5" spans="1:7" x14ac:dyDescent="0.4">
      <c r="A5" s="9" t="s">
        <v>15</v>
      </c>
      <c r="B5" s="10">
        <v>179.1</v>
      </c>
      <c r="C5" s="8">
        <f>B5/SUM($B$5:$B$16)</f>
        <v>8.2932024448972033E-2</v>
      </c>
      <c r="E5" s="6" t="s">
        <v>178</v>
      </c>
      <c r="F5" s="5">
        <f>MAX(C5:C16)</f>
        <v>9.3072791257640314E-2</v>
      </c>
      <c r="G5" t="str">
        <f>INDEX(A5:A16,MATCH(MAX(C5:C16),C5:C16,0))</f>
        <v>Pan, tobacco and intoxicants</v>
      </c>
    </row>
    <row r="6" spans="1:7" x14ac:dyDescent="0.4">
      <c r="A6" s="9" t="s">
        <v>16</v>
      </c>
      <c r="B6" s="10">
        <v>201</v>
      </c>
      <c r="C6" s="8">
        <f t="shared" ref="C6:C16" si="0">B6/SUM($B$5:$B$16)</f>
        <v>9.3072791257640314E-2</v>
      </c>
    </row>
    <row r="7" spans="1:7" x14ac:dyDescent="0.4">
      <c r="A7" s="9" t="s">
        <v>19</v>
      </c>
      <c r="B7" s="10">
        <v>186.2</v>
      </c>
      <c r="C7" s="8">
        <f t="shared" si="0"/>
        <v>8.6219670309316543E-2</v>
      </c>
    </row>
    <row r="8" spans="1:7" x14ac:dyDescent="0.4">
      <c r="A8" s="9" t="s">
        <v>20</v>
      </c>
      <c r="B8" s="10">
        <v>175.6</v>
      </c>
      <c r="C8" s="8">
        <f t="shared" si="0"/>
        <v>8.1311353954436005E-2</v>
      </c>
    </row>
    <row r="9" spans="1:7" x14ac:dyDescent="0.4">
      <c r="A9" s="9" t="s">
        <v>21</v>
      </c>
      <c r="B9" s="10">
        <v>182.8</v>
      </c>
      <c r="C9" s="8">
        <f t="shared" si="0"/>
        <v>8.4645304686052983E-2</v>
      </c>
    </row>
    <row r="10" spans="1:7" x14ac:dyDescent="0.4">
      <c r="A10" s="9" t="s">
        <v>22</v>
      </c>
      <c r="B10" s="10">
        <v>175.2</v>
      </c>
      <c r="C10" s="8">
        <f t="shared" si="0"/>
        <v>8.1126134469346176E-2</v>
      </c>
    </row>
    <row r="11" spans="1:7" x14ac:dyDescent="0.4">
      <c r="A11" s="9" t="s">
        <v>23</v>
      </c>
      <c r="B11" s="10">
        <v>185.7</v>
      </c>
      <c r="C11" s="8">
        <f t="shared" si="0"/>
        <v>8.5988145952954245E-2</v>
      </c>
    </row>
    <row r="12" spans="1:7" x14ac:dyDescent="0.4">
      <c r="A12" s="9" t="s">
        <v>24</v>
      </c>
      <c r="B12" s="10">
        <v>164.8</v>
      </c>
      <c r="C12" s="8">
        <f t="shared" si="0"/>
        <v>7.631042785701056E-2</v>
      </c>
    </row>
    <row r="13" spans="1:7" x14ac:dyDescent="0.4">
      <c r="A13" s="9" t="s">
        <v>25</v>
      </c>
      <c r="B13" s="10">
        <v>171.2</v>
      </c>
      <c r="C13" s="8">
        <f t="shared" si="0"/>
        <v>7.9273939618447864E-2</v>
      </c>
    </row>
    <row r="14" spans="1:7" x14ac:dyDescent="0.4">
      <c r="A14" s="9" t="s">
        <v>26</v>
      </c>
      <c r="B14" s="10">
        <v>177.1</v>
      </c>
      <c r="C14" s="8">
        <f t="shared" si="0"/>
        <v>8.200592702352287E-2</v>
      </c>
    </row>
    <row r="15" spans="1:7" x14ac:dyDescent="0.4">
      <c r="A15" s="9" t="s">
        <v>27</v>
      </c>
      <c r="B15" s="10">
        <v>185.2</v>
      </c>
      <c r="C15" s="8">
        <f t="shared" si="0"/>
        <v>8.5756621596591961E-2</v>
      </c>
    </row>
    <row r="16" spans="1:7" x14ac:dyDescent="0.4">
      <c r="A16" s="9" t="s">
        <v>28</v>
      </c>
      <c r="B16" s="10">
        <v>175.7</v>
      </c>
      <c r="C16" s="8">
        <f t="shared" si="0"/>
        <v>8.1357658825708459E-2</v>
      </c>
    </row>
    <row r="17" spans="1:3" x14ac:dyDescent="0.4">
      <c r="A17" s="9" t="s">
        <v>177</v>
      </c>
      <c r="B17" s="7">
        <f>SUM(B5:B15)</f>
        <v>1983.9</v>
      </c>
      <c r="C17" s="8">
        <f>SUM(C5:C16)</f>
        <v>0.99999999999999989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9"/>
  <sheetViews>
    <sheetView workbookViewId="0">
      <selection activeCell="C12" sqref="C12"/>
    </sheetView>
  </sheetViews>
  <sheetFormatPr defaultRowHeight="21" x14ac:dyDescent="0.4"/>
  <cols>
    <col min="1" max="1" width="41.7109375" customWidth="1"/>
  </cols>
  <sheetData>
    <row r="2" spans="1:1" x14ac:dyDescent="0.4">
      <c r="A2" t="s">
        <v>168</v>
      </c>
    </row>
    <row r="3" spans="1:1" x14ac:dyDescent="0.4">
      <c r="A3" t="s">
        <v>172</v>
      </c>
    </row>
    <row r="4" spans="1:1" x14ac:dyDescent="0.4">
      <c r="A4" t="s">
        <v>227</v>
      </c>
    </row>
    <row r="7" spans="1:1" x14ac:dyDescent="0.4">
      <c r="A7" t="s">
        <v>169</v>
      </c>
    </row>
    <row r="8" spans="1:1" x14ac:dyDescent="0.4">
      <c r="A8" t="s">
        <v>171</v>
      </c>
    </row>
    <row r="9" spans="1:1" x14ac:dyDescent="0.4">
      <c r="A9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1"/>
  <sheetViews>
    <sheetView zoomScale="60" zoomScaleNormal="60" workbookViewId="0">
      <selection activeCell="D20" sqref="D20"/>
    </sheetView>
  </sheetViews>
  <sheetFormatPr defaultRowHeight="21" x14ac:dyDescent="0.4"/>
  <cols>
    <col min="2" max="2" width="19.7109375" customWidth="1"/>
    <col min="3" max="3" width="14.92578125" bestFit="1" customWidth="1"/>
    <col min="4" max="4" width="11" customWidth="1"/>
    <col min="5" max="5" width="5.78515625" customWidth="1"/>
    <col min="6" max="6" width="10.42578125" customWidth="1"/>
  </cols>
  <sheetData>
    <row r="2" spans="2:8" x14ac:dyDescent="0.4">
      <c r="B2" s="2" t="s">
        <v>206</v>
      </c>
      <c r="C2" s="2" t="s">
        <v>165</v>
      </c>
      <c r="H2" t="s">
        <v>0</v>
      </c>
    </row>
    <row r="3" spans="2:8" x14ac:dyDescent="0.4">
      <c r="B3" s="2" t="s">
        <v>167</v>
      </c>
      <c r="C3" t="s">
        <v>30</v>
      </c>
      <c r="D3" t="s">
        <v>35</v>
      </c>
      <c r="E3" t="s">
        <v>33</v>
      </c>
      <c r="F3" t="s">
        <v>166</v>
      </c>
      <c r="H3" t="s">
        <v>1</v>
      </c>
    </row>
    <row r="4" spans="2:8" x14ac:dyDescent="0.4">
      <c r="B4" s="3">
        <v>2013</v>
      </c>
      <c r="C4" s="1">
        <v>12</v>
      </c>
      <c r="D4" s="1">
        <v>12</v>
      </c>
      <c r="E4" s="1">
        <v>12</v>
      </c>
      <c r="F4" s="1">
        <v>36</v>
      </c>
      <c r="H4" t="s">
        <v>2</v>
      </c>
    </row>
    <row r="5" spans="2:8" x14ac:dyDescent="0.4">
      <c r="B5" s="3">
        <v>2014</v>
      </c>
      <c r="C5" s="1">
        <v>12</v>
      </c>
      <c r="D5" s="1">
        <v>12</v>
      </c>
      <c r="E5" s="1">
        <v>12</v>
      </c>
      <c r="F5" s="1">
        <v>36</v>
      </c>
      <c r="H5" t="s">
        <v>3</v>
      </c>
    </row>
    <row r="6" spans="2:8" x14ac:dyDescent="0.4">
      <c r="B6" s="3">
        <v>2015</v>
      </c>
      <c r="C6" s="1">
        <v>12</v>
      </c>
      <c r="D6" s="1">
        <v>12</v>
      </c>
      <c r="E6" s="1">
        <v>12</v>
      </c>
      <c r="F6" s="1">
        <v>36</v>
      </c>
      <c r="H6" t="s">
        <v>4</v>
      </c>
    </row>
    <row r="7" spans="2:8" x14ac:dyDescent="0.4">
      <c r="B7" s="3">
        <v>2016</v>
      </c>
      <c r="C7" s="1">
        <v>12</v>
      </c>
      <c r="D7" s="1">
        <v>12</v>
      </c>
      <c r="E7" s="1">
        <v>12</v>
      </c>
      <c r="F7" s="1">
        <v>36</v>
      </c>
      <c r="H7" t="s">
        <v>5</v>
      </c>
    </row>
    <row r="8" spans="2:8" x14ac:dyDescent="0.4">
      <c r="B8" s="3">
        <v>2017</v>
      </c>
      <c r="C8" s="1">
        <v>12</v>
      </c>
      <c r="D8" s="1">
        <v>12</v>
      </c>
      <c r="E8" s="1">
        <v>12</v>
      </c>
      <c r="F8" s="1">
        <v>36</v>
      </c>
      <c r="H8" t="s">
        <v>6</v>
      </c>
    </row>
    <row r="9" spans="2:8" x14ac:dyDescent="0.4">
      <c r="B9" s="3">
        <v>2018</v>
      </c>
      <c r="C9" s="1">
        <v>12</v>
      </c>
      <c r="D9" s="1">
        <v>12</v>
      </c>
      <c r="E9" s="1">
        <v>12</v>
      </c>
      <c r="F9" s="1">
        <v>36</v>
      </c>
      <c r="H9" t="s">
        <v>7</v>
      </c>
    </row>
    <row r="10" spans="2:8" x14ac:dyDescent="0.4">
      <c r="B10" s="3">
        <v>2019</v>
      </c>
      <c r="C10" s="1">
        <v>11</v>
      </c>
      <c r="D10" s="1">
        <v>11</v>
      </c>
      <c r="E10" s="1">
        <v>11</v>
      </c>
      <c r="F10" s="1">
        <v>33</v>
      </c>
      <c r="H10" t="s">
        <v>8</v>
      </c>
    </row>
    <row r="11" spans="2:8" x14ac:dyDescent="0.4">
      <c r="B11" s="3">
        <v>2020</v>
      </c>
      <c r="C11" s="1">
        <v>10</v>
      </c>
      <c r="D11" s="1">
        <v>10</v>
      </c>
      <c r="E11" s="1">
        <v>10</v>
      </c>
      <c r="F11" s="1">
        <v>30</v>
      </c>
      <c r="H11" t="s">
        <v>9</v>
      </c>
    </row>
    <row r="12" spans="2:8" x14ac:dyDescent="0.4">
      <c r="B12" s="3">
        <v>2021</v>
      </c>
      <c r="C12" s="1">
        <v>12</v>
      </c>
      <c r="D12" s="1">
        <v>12</v>
      </c>
      <c r="E12" s="1">
        <v>12</v>
      </c>
      <c r="F12" s="1">
        <v>36</v>
      </c>
      <c r="H12" t="s">
        <v>10</v>
      </c>
    </row>
    <row r="13" spans="2:8" x14ac:dyDescent="0.4">
      <c r="B13" s="3">
        <v>2022</v>
      </c>
      <c r="C13" s="1">
        <v>12</v>
      </c>
      <c r="D13" s="1">
        <v>12</v>
      </c>
      <c r="E13" s="1">
        <v>12</v>
      </c>
      <c r="F13" s="1">
        <v>36</v>
      </c>
      <c r="H13" t="s">
        <v>11</v>
      </c>
    </row>
    <row r="14" spans="2:8" x14ac:dyDescent="0.4">
      <c r="B14" s="3">
        <v>2023</v>
      </c>
      <c r="C14" s="1">
        <v>5</v>
      </c>
      <c r="D14" s="1">
        <v>5</v>
      </c>
      <c r="E14" s="1">
        <v>5</v>
      </c>
      <c r="F14" s="1">
        <v>15</v>
      </c>
      <c r="H14" t="s">
        <v>12</v>
      </c>
    </row>
    <row r="15" spans="2:8" x14ac:dyDescent="0.4">
      <c r="B15" s="3" t="s">
        <v>166</v>
      </c>
      <c r="C15" s="1">
        <v>122</v>
      </c>
      <c r="D15" s="1">
        <v>122</v>
      </c>
      <c r="E15" s="1">
        <v>122</v>
      </c>
      <c r="F15" s="1">
        <v>366</v>
      </c>
      <c r="H15" t="s">
        <v>13</v>
      </c>
    </row>
    <row r="16" spans="2:8" x14ac:dyDescent="0.4">
      <c r="H16" t="s">
        <v>14</v>
      </c>
    </row>
    <row r="17" spans="8:8" x14ac:dyDescent="0.4">
      <c r="H17" t="s">
        <v>15</v>
      </c>
    </row>
    <row r="18" spans="8:8" x14ac:dyDescent="0.4">
      <c r="H18" t="s">
        <v>16</v>
      </c>
    </row>
    <row r="19" spans="8:8" x14ac:dyDescent="0.4">
      <c r="H19" t="s">
        <v>17</v>
      </c>
    </row>
    <row r="20" spans="8:8" x14ac:dyDescent="0.4">
      <c r="H20" t="s">
        <v>18</v>
      </c>
    </row>
    <row r="21" spans="8:8" x14ac:dyDescent="0.4">
      <c r="H21" t="s">
        <v>19</v>
      </c>
    </row>
    <row r="22" spans="8:8" x14ac:dyDescent="0.4">
      <c r="H22" t="s">
        <v>20</v>
      </c>
    </row>
    <row r="23" spans="8:8" x14ac:dyDescent="0.4">
      <c r="H23" t="s">
        <v>21</v>
      </c>
    </row>
    <row r="24" spans="8:8" x14ac:dyDescent="0.4">
      <c r="H24" t="s">
        <v>22</v>
      </c>
    </row>
    <row r="25" spans="8:8" x14ac:dyDescent="0.4">
      <c r="H25" t="s">
        <v>23</v>
      </c>
    </row>
    <row r="26" spans="8:8" x14ac:dyDescent="0.4">
      <c r="H26" t="s">
        <v>24</v>
      </c>
    </row>
    <row r="27" spans="8:8" x14ac:dyDescent="0.4">
      <c r="H27" t="s">
        <v>25</v>
      </c>
    </row>
    <row r="28" spans="8:8" x14ac:dyDescent="0.4">
      <c r="H28" t="s">
        <v>26</v>
      </c>
    </row>
    <row r="29" spans="8:8" x14ac:dyDescent="0.4">
      <c r="H29" t="s">
        <v>27</v>
      </c>
    </row>
    <row r="30" spans="8:8" x14ac:dyDescent="0.4">
      <c r="H30" t="s">
        <v>28</v>
      </c>
    </row>
    <row r="31" spans="8:8" x14ac:dyDescent="0.4">
      <c r="H31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3"/>
  <sheetViews>
    <sheetView topLeftCell="Z1" workbookViewId="0">
      <selection activeCell="AD286" activeCellId="3" sqref="P286 V286 Y286 AD286"/>
    </sheetView>
  </sheetViews>
  <sheetFormatPr defaultRowHeight="21" x14ac:dyDescent="0.4"/>
  <cols>
    <col min="4" max="4" width="18.5703125" customWidth="1"/>
    <col min="5" max="5" width="12.85546875" customWidth="1"/>
    <col min="7" max="7" width="16.28515625" customWidth="1"/>
    <col min="8" max="8" width="11.7109375" customWidth="1"/>
    <col min="10" max="10" width="10.78515625" customWidth="1"/>
    <col min="11" max="11" width="17.7109375" customWidth="1"/>
    <col min="12" max="12" width="21.5" customWidth="1"/>
    <col min="14" max="14" width="21.640625" customWidth="1"/>
    <col min="15" max="15" width="30.5" customWidth="1"/>
    <col min="16" max="16" width="17.92578125" customWidth="1"/>
    <col min="17" max="17" width="24.5" customWidth="1"/>
    <col min="19" max="19" width="9.5703125" customWidth="1"/>
    <col min="20" max="20" width="19.78515625" customWidth="1"/>
    <col min="21" max="21" width="9.140625" style="1"/>
    <col min="22" max="22" width="12.5703125" customWidth="1"/>
    <col min="23" max="23" width="26.0703125" customWidth="1"/>
    <col min="25" max="25" width="25.85546875" customWidth="1"/>
    <col min="26" max="26" width="23.85546875" customWidth="1"/>
    <col min="27" max="27" width="9.7109375" customWidth="1"/>
    <col min="28" max="28" width="22" customWidth="1"/>
    <col min="29" max="29" width="13.42578125" customWidth="1"/>
    <col min="30" max="30" width="13" customWidth="1"/>
  </cols>
  <sheetData>
    <row r="1" spans="1:3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idden="1" x14ac:dyDescent="0.4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s="1">
        <v>0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hidden="1" x14ac:dyDescent="0.4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s="1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hidden="1" x14ac:dyDescent="0.4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s="1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hidden="1" x14ac:dyDescent="0.4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s="1">
        <v>0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hidden="1" x14ac:dyDescent="0.4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s="1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hidden="1" x14ac:dyDescent="0.4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s="1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hidden="1" x14ac:dyDescent="0.4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s="1">
        <v>0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hidden="1" x14ac:dyDescent="0.4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s="1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hidden="1" x14ac:dyDescent="0.4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s="1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hidden="1" x14ac:dyDescent="0.4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s="1">
        <v>0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hidden="1" x14ac:dyDescent="0.4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s="1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hidden="1" x14ac:dyDescent="0.4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s="1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hidden="1" x14ac:dyDescent="0.4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s="1">
        <v>0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hidden="1" x14ac:dyDescent="0.4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s="1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hidden="1" x14ac:dyDescent="0.4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s="1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hidden="1" x14ac:dyDescent="0.4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s="1">
        <v>0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hidden="1" x14ac:dyDescent="0.4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s="1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hidden="1" x14ac:dyDescent="0.4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s="1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hidden="1" x14ac:dyDescent="0.4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s="1">
        <v>0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hidden="1" x14ac:dyDescent="0.4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s="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hidden="1" x14ac:dyDescent="0.4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s="1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hidden="1" x14ac:dyDescent="0.4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s="1">
        <v>0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hidden="1" x14ac:dyDescent="0.4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s="1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hidden="1" x14ac:dyDescent="0.4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s="1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hidden="1" x14ac:dyDescent="0.4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s="1">
        <v>0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hidden="1" x14ac:dyDescent="0.4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s="1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hidden="1" x14ac:dyDescent="0.4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s="1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hidden="1" x14ac:dyDescent="0.4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s="1">
        <v>0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hidden="1" x14ac:dyDescent="0.4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s="1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hidden="1" x14ac:dyDescent="0.4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s="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hidden="1" x14ac:dyDescent="0.4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s="1">
        <v>0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hidden="1" x14ac:dyDescent="0.4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s="1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hidden="1" x14ac:dyDescent="0.4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s="1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hidden="1" x14ac:dyDescent="0.4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s="1">
        <v>0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hidden="1" x14ac:dyDescent="0.4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s="1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hidden="1" x14ac:dyDescent="0.4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s="1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hidden="1" x14ac:dyDescent="0.4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s="1">
        <v>0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hidden="1" x14ac:dyDescent="0.4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s="1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hidden="1" x14ac:dyDescent="0.4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s="1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hidden="1" x14ac:dyDescent="0.4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s="1">
        <v>0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hidden="1" x14ac:dyDescent="0.4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s="1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hidden="1" x14ac:dyDescent="0.4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s="1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hidden="1" x14ac:dyDescent="0.4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s="1">
        <v>0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hidden="1" x14ac:dyDescent="0.4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s="1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hidden="1" x14ac:dyDescent="0.4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s="1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hidden="1" x14ac:dyDescent="0.4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s="1">
        <v>0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hidden="1" x14ac:dyDescent="0.4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s="1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hidden="1" x14ac:dyDescent="0.4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s="1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hidden="1" x14ac:dyDescent="0.4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s="1">
        <v>0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hidden="1" x14ac:dyDescent="0.4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s="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hidden="1" x14ac:dyDescent="0.4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s="1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hidden="1" x14ac:dyDescent="0.4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s="1">
        <v>0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hidden="1" x14ac:dyDescent="0.4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s="1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hidden="1" x14ac:dyDescent="0.4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s="1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hidden="1" x14ac:dyDescent="0.4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s="1">
        <v>0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hidden="1" x14ac:dyDescent="0.4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s="1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hidden="1" x14ac:dyDescent="0.4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s="1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hidden="1" x14ac:dyDescent="0.4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s="1">
        <v>0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hidden="1" x14ac:dyDescent="0.4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s="1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hidden="1" x14ac:dyDescent="0.4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s="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hidden="1" x14ac:dyDescent="0.4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s="1">
        <v>0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hidden="1" x14ac:dyDescent="0.4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s="1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hidden="1" x14ac:dyDescent="0.4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s="1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hidden="1" x14ac:dyDescent="0.4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s="1">
        <v>0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hidden="1" x14ac:dyDescent="0.4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s="1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hidden="1" x14ac:dyDescent="0.4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s="1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hidden="1" x14ac:dyDescent="0.4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s="1">
        <v>0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hidden="1" x14ac:dyDescent="0.4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s="1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hidden="1" x14ac:dyDescent="0.4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s="1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hidden="1" x14ac:dyDescent="0.4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s="1">
        <v>0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hidden="1" x14ac:dyDescent="0.4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s="1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hidden="1" x14ac:dyDescent="0.4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s="1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hidden="1" x14ac:dyDescent="0.4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s="1">
        <v>0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hidden="1" x14ac:dyDescent="0.4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s="1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hidden="1" x14ac:dyDescent="0.4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s="1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hidden="1" x14ac:dyDescent="0.4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s="1">
        <v>0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hidden="1" x14ac:dyDescent="0.4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s="1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hidden="1" x14ac:dyDescent="0.4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s="1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hidden="1" x14ac:dyDescent="0.4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s="1">
        <v>0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hidden="1" x14ac:dyDescent="0.4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s="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hidden="1" x14ac:dyDescent="0.4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s="1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hidden="1" x14ac:dyDescent="0.4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s="1">
        <v>0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hidden="1" x14ac:dyDescent="0.4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s="1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hidden="1" x14ac:dyDescent="0.4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s="1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hidden="1" x14ac:dyDescent="0.4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s="1">
        <v>0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hidden="1" x14ac:dyDescent="0.4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s="1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hidden="1" x14ac:dyDescent="0.4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s="1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hidden="1" x14ac:dyDescent="0.4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s="1">
        <v>0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hidden="1" x14ac:dyDescent="0.4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s="1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hidden="1" x14ac:dyDescent="0.4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s="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hidden="1" x14ac:dyDescent="0.4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s="1">
        <v>0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hidden="1" x14ac:dyDescent="0.4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s="1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hidden="1" x14ac:dyDescent="0.4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s="1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hidden="1" x14ac:dyDescent="0.4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s="1">
        <v>0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hidden="1" x14ac:dyDescent="0.4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s="1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hidden="1" x14ac:dyDescent="0.4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s="1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hidden="1" x14ac:dyDescent="0.4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s="1">
        <v>0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hidden="1" x14ac:dyDescent="0.4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s="1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hidden="1" x14ac:dyDescent="0.4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s="1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hidden="1" x14ac:dyDescent="0.4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s="1">
        <v>0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hidden="1" x14ac:dyDescent="0.4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s="1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hidden="1" x14ac:dyDescent="0.4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s="1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hidden="1" x14ac:dyDescent="0.4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s="1">
        <v>0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hidden="1" x14ac:dyDescent="0.4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s="1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hidden="1" x14ac:dyDescent="0.4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s="1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hidden="1" x14ac:dyDescent="0.4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s="1">
        <v>0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hidden="1" x14ac:dyDescent="0.4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s="1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hidden="1" x14ac:dyDescent="0.4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s="1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hidden="1" x14ac:dyDescent="0.4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s="1">
        <v>0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hidden="1" x14ac:dyDescent="0.4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s="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hidden="1" x14ac:dyDescent="0.4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s="1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hidden="1" x14ac:dyDescent="0.4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s="1">
        <v>0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hidden="1" x14ac:dyDescent="0.4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s="1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hidden="1" x14ac:dyDescent="0.4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s="1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hidden="1" x14ac:dyDescent="0.4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s="1">
        <v>0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hidden="1" x14ac:dyDescent="0.4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s="1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hidden="1" x14ac:dyDescent="0.4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s="1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hidden="1" x14ac:dyDescent="0.4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s="1">
        <v>0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hidden="1" x14ac:dyDescent="0.4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s="1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hidden="1" x14ac:dyDescent="0.4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s="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hidden="1" x14ac:dyDescent="0.4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s="1">
        <v>0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hidden="1" x14ac:dyDescent="0.4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s="1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hidden="1" x14ac:dyDescent="0.4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s="1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hidden="1" x14ac:dyDescent="0.4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s="1">
        <v>0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hidden="1" x14ac:dyDescent="0.4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s="1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hidden="1" x14ac:dyDescent="0.4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s="1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hidden="1" x14ac:dyDescent="0.4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s="1">
        <v>0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hidden="1" x14ac:dyDescent="0.4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s="1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hidden="1" x14ac:dyDescent="0.4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s="1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hidden="1" x14ac:dyDescent="0.4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s="1">
        <v>0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hidden="1" x14ac:dyDescent="0.4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s="1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hidden="1" x14ac:dyDescent="0.4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s="1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hidden="1" x14ac:dyDescent="0.4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s="1">
        <v>0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hidden="1" x14ac:dyDescent="0.4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s="1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hidden="1" x14ac:dyDescent="0.4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s="1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hidden="1" x14ac:dyDescent="0.4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s="1">
        <v>0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hidden="1" x14ac:dyDescent="0.4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s="1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hidden="1" x14ac:dyDescent="0.4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s="1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hidden="1" x14ac:dyDescent="0.4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s="1">
        <v>0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hidden="1" x14ac:dyDescent="0.4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s="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hidden="1" x14ac:dyDescent="0.4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s="1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hidden="1" x14ac:dyDescent="0.4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s="1">
        <v>0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hidden="1" x14ac:dyDescent="0.4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s="1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hidden="1" x14ac:dyDescent="0.4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s="1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hidden="1" x14ac:dyDescent="0.4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s="1">
        <v>0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hidden="1" x14ac:dyDescent="0.4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s="1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hidden="1" x14ac:dyDescent="0.4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s="1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hidden="1" x14ac:dyDescent="0.4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s="1">
        <v>0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hidden="1" x14ac:dyDescent="0.4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s="1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hidden="1" x14ac:dyDescent="0.4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s="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hidden="1" x14ac:dyDescent="0.4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s="1">
        <v>0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hidden="1" x14ac:dyDescent="0.4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s="1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hidden="1" x14ac:dyDescent="0.4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s="1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hidden="1" x14ac:dyDescent="0.4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s="1">
        <v>0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hidden="1" x14ac:dyDescent="0.4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s="1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hidden="1" x14ac:dyDescent="0.4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s="1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hidden="1" x14ac:dyDescent="0.4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s="1">
        <v>0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hidden="1" x14ac:dyDescent="0.4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s="1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hidden="1" x14ac:dyDescent="0.4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s="1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hidden="1" x14ac:dyDescent="0.4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s="1">
        <v>0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hidden="1" x14ac:dyDescent="0.4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s="1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hidden="1" x14ac:dyDescent="0.4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s="1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hidden="1" x14ac:dyDescent="0.4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s="1">
        <v>0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hidden="1" x14ac:dyDescent="0.4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s="1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hidden="1" x14ac:dyDescent="0.4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s="1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hidden="1" x14ac:dyDescent="0.4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s="1">
        <v>0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hidden="1" x14ac:dyDescent="0.4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s="1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hidden="1" x14ac:dyDescent="0.4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s="1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hidden="1" x14ac:dyDescent="0.4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s="1">
        <v>0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hidden="1" x14ac:dyDescent="0.4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s="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hidden="1" x14ac:dyDescent="0.4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s="1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hidden="1" x14ac:dyDescent="0.4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s="1">
        <v>0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hidden="1" x14ac:dyDescent="0.4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s="1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hidden="1" x14ac:dyDescent="0.4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s="1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hidden="1" x14ac:dyDescent="0.4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s="1">
        <v>0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hidden="1" x14ac:dyDescent="0.4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s="1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hidden="1" x14ac:dyDescent="0.4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s="1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hidden="1" x14ac:dyDescent="0.4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s="1">
        <v>0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hidden="1" x14ac:dyDescent="0.4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s="1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hidden="1" x14ac:dyDescent="0.4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s="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hidden="1" x14ac:dyDescent="0.4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s="1">
        <v>0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hidden="1" x14ac:dyDescent="0.4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s="1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hidden="1" x14ac:dyDescent="0.4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s="1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hidden="1" x14ac:dyDescent="0.4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s="1">
        <v>0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hidden="1" x14ac:dyDescent="0.4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s="1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hidden="1" x14ac:dyDescent="0.4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s="1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hidden="1" x14ac:dyDescent="0.4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s="1">
        <v>0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hidden="1" x14ac:dyDescent="0.4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s="1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hidden="1" x14ac:dyDescent="0.4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s="1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hidden="1" x14ac:dyDescent="0.4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s="1">
        <v>0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hidden="1" x14ac:dyDescent="0.4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s="1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hidden="1" x14ac:dyDescent="0.4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s="1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hidden="1" x14ac:dyDescent="0.4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s="1">
        <v>0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hidden="1" x14ac:dyDescent="0.4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s="1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hidden="1" x14ac:dyDescent="0.4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s="1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hidden="1" x14ac:dyDescent="0.4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s="1">
        <v>0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hidden="1" x14ac:dyDescent="0.4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s="1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hidden="1" x14ac:dyDescent="0.4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s="1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hidden="1" x14ac:dyDescent="0.4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s="1">
        <v>0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hidden="1" x14ac:dyDescent="0.4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s="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hidden="1" x14ac:dyDescent="0.4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s="1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hidden="1" x14ac:dyDescent="0.4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s="1">
        <v>0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hidden="1" x14ac:dyDescent="0.4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s="1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hidden="1" x14ac:dyDescent="0.4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s="1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hidden="1" x14ac:dyDescent="0.4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s="1">
        <v>0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hidden="1" x14ac:dyDescent="0.4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s="1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hidden="1" x14ac:dyDescent="0.4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s="1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hidden="1" x14ac:dyDescent="0.4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s="1">
        <v>0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hidden="1" x14ac:dyDescent="0.4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s="1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hidden="1" x14ac:dyDescent="0.4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s="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hidden="1" x14ac:dyDescent="0.4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s="1">
        <v>0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hidden="1" x14ac:dyDescent="0.4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s="1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hidden="1" x14ac:dyDescent="0.4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s="1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hidden="1" x14ac:dyDescent="0.4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s="1">
        <v>0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hidden="1" x14ac:dyDescent="0.4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s="1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hidden="1" x14ac:dyDescent="0.4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s="1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hidden="1" x14ac:dyDescent="0.4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s="1">
        <v>0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hidden="1" x14ac:dyDescent="0.4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s="1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hidden="1" x14ac:dyDescent="0.4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s="1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hidden="1" x14ac:dyDescent="0.4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s="1">
        <v>0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hidden="1" x14ac:dyDescent="0.4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s="1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hidden="1" x14ac:dyDescent="0.4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s="1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hidden="1" x14ac:dyDescent="0.4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s="1">
        <v>0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hidden="1" x14ac:dyDescent="0.4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s="1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hidden="1" x14ac:dyDescent="0.4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s="1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hidden="1" x14ac:dyDescent="0.4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s="1">
        <v>0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hidden="1" x14ac:dyDescent="0.4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s="1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hidden="1" x14ac:dyDescent="0.4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s="1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hidden="1" x14ac:dyDescent="0.4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s="1">
        <v>0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hidden="1" x14ac:dyDescent="0.4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s="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hidden="1" x14ac:dyDescent="0.4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s="1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hidden="1" x14ac:dyDescent="0.4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s="1">
        <v>0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hidden="1" x14ac:dyDescent="0.4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s="1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hidden="1" x14ac:dyDescent="0.4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s="1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hidden="1" x14ac:dyDescent="0.4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s="1">
        <v>0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hidden="1" x14ac:dyDescent="0.4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s="1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hidden="1" x14ac:dyDescent="0.4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s="1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hidden="1" x14ac:dyDescent="0.4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s="1">
        <v>0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hidden="1" x14ac:dyDescent="0.4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s="1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hidden="1" x14ac:dyDescent="0.4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s="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hidden="1" x14ac:dyDescent="0.4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s="1">
        <v>0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hidden="1" x14ac:dyDescent="0.4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s="1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hidden="1" x14ac:dyDescent="0.4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s="1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hidden="1" x14ac:dyDescent="0.4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s="1">
        <v>0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hidden="1" x14ac:dyDescent="0.4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s="1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hidden="1" x14ac:dyDescent="0.4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s="1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hidden="1" x14ac:dyDescent="0.4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s="1">
        <v>0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hidden="1" x14ac:dyDescent="0.4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s="1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hidden="1" x14ac:dyDescent="0.4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s="1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hidden="1" x14ac:dyDescent="0.4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s="1">
        <v>0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hidden="1" x14ac:dyDescent="0.4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s="1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4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s="1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hidden="1" x14ac:dyDescent="0.4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s="1">
        <v>0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hidden="1" x14ac:dyDescent="0.4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s="1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4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s="1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hidden="1" x14ac:dyDescent="0.4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s="1">
        <v>0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hidden="1" x14ac:dyDescent="0.4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s="1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4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s="1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hidden="1" x14ac:dyDescent="0.4">
      <c r="A260" t="s">
        <v>30</v>
      </c>
      <c r="B260">
        <v>2020</v>
      </c>
      <c r="C260" t="s">
        <v>39</v>
      </c>
      <c r="D260">
        <v>147.19999999999999</v>
      </c>
      <c r="E260" s="4">
        <f>E257+(E266-E257)/3</f>
        <v>174.63333333333335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s="4">
        <f>O257+(O266-O257)/3</f>
        <v>160.6</v>
      </c>
      <c r="P260">
        <v>150.1</v>
      </c>
      <c r="Q260" s="4">
        <f>Q257+(Q266-Q257)/3</f>
        <v>174.46666666666667</v>
      </c>
      <c r="R260" s="4">
        <f>R257+(R266-R257)/3</f>
        <v>153.83333333333334</v>
      </c>
      <c r="S260" s="4">
        <f>S257+(S266-S257)/3</f>
        <v>148.4</v>
      </c>
      <c r="T260" s="4">
        <f>T257+(T266-T257)/3</f>
        <v>153.03333333333333</v>
      </c>
      <c r="U260" s="1">
        <v>0</v>
      </c>
      <c r="V260">
        <v>148.4</v>
      </c>
      <c r="W260" s="4">
        <f>W257+(W266-W257)/3</f>
        <v>151.56666666666666</v>
      </c>
      <c r="X260">
        <v>154.30000000000001</v>
      </c>
      <c r="Y260" s="4">
        <f>Y257+(Y266-Y257)/3</f>
        <v>137.66666666666669</v>
      </c>
      <c r="Z260" s="4">
        <f>Z257+(Z266-Z257)/3</f>
        <v>151.86666666666665</v>
      </c>
      <c r="AA260" s="4">
        <f t="shared" ref="AA260:AD260" si="0">AA257+(AA266-AA257)/3</f>
        <v>161.4</v>
      </c>
      <c r="AB260" s="4">
        <f t="shared" si="0"/>
        <v>147.13333333333333</v>
      </c>
      <c r="AC260" s="4">
        <f t="shared" si="0"/>
        <v>149.63333333333333</v>
      </c>
      <c r="AD260" s="4">
        <f t="shared" si="0"/>
        <v>150.76666666666668</v>
      </c>
    </row>
    <row r="261" spans="1:30" hidden="1" x14ac:dyDescent="0.4">
      <c r="A261" t="s">
        <v>33</v>
      </c>
      <c r="B261">
        <v>2020</v>
      </c>
      <c r="C261" t="s">
        <v>39</v>
      </c>
      <c r="D261">
        <v>151.80000000000001</v>
      </c>
      <c r="E261" s="4">
        <f t="shared" ref="E261:E262" si="1">E258+(E267-E258)/3</f>
        <v>177.33333333333334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s="4">
        <f t="shared" ref="O261:O262" si="2">O258+(O267-O258)/3</f>
        <v>159.96666666666667</v>
      </c>
      <c r="P261">
        <v>153.5</v>
      </c>
      <c r="Q261" s="4">
        <f t="shared" ref="Q261:T262" si="3">Q258+(Q267-Q258)/3</f>
        <v>177.76666666666668</v>
      </c>
      <c r="R261" s="4">
        <f t="shared" si="3"/>
        <v>148.16666666666666</v>
      </c>
      <c r="S261" s="4">
        <f t="shared" si="3"/>
        <v>134.73333333333335</v>
      </c>
      <c r="T261" s="4">
        <f t="shared" si="3"/>
        <v>146.13333333333333</v>
      </c>
      <c r="U261" s="1">
        <v>155.6</v>
      </c>
      <c r="V261">
        <v>137.1</v>
      </c>
      <c r="W261" s="4">
        <f t="shared" ref="W261:W262" si="4">W258+(W267-W258)/3</f>
        <v>140.66666666666669</v>
      </c>
      <c r="X261">
        <v>144.80000000000001</v>
      </c>
      <c r="Y261" s="4">
        <f t="shared" ref="Y261:Z262" si="5">Y258+(Y267-Y258)/3</f>
        <v>126.16666666666667</v>
      </c>
      <c r="Z261" s="4">
        <f t="shared" si="5"/>
        <v>140.1</v>
      </c>
      <c r="AA261" s="4">
        <f t="shared" ref="AA261:AD261" si="6">AA258+(AA267-AA258)/3</f>
        <v>152.5</v>
      </c>
      <c r="AB261" s="4">
        <f t="shared" si="6"/>
        <v>147.6</v>
      </c>
      <c r="AC261" s="4">
        <f t="shared" si="6"/>
        <v>139.79999999999998</v>
      </c>
      <c r="AD261" s="4">
        <f t="shared" si="6"/>
        <v>148.46666666666667</v>
      </c>
    </row>
    <row r="262" spans="1:30" x14ac:dyDescent="0.4">
      <c r="A262" t="s">
        <v>35</v>
      </c>
      <c r="B262">
        <v>2020</v>
      </c>
      <c r="C262" t="s">
        <v>39</v>
      </c>
      <c r="D262">
        <v>148.69999999999999</v>
      </c>
      <c r="E262" s="4">
        <f t="shared" si="1"/>
        <v>175.56666666666666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s="4">
        <f t="shared" si="2"/>
        <v>160.33333333333334</v>
      </c>
      <c r="P262">
        <v>151.4</v>
      </c>
      <c r="Q262" s="4">
        <f t="shared" si="3"/>
        <v>175.29999999999998</v>
      </c>
      <c r="R262" s="4">
        <f t="shared" si="3"/>
        <v>151.63333333333333</v>
      </c>
      <c r="S262" s="4">
        <f t="shared" si="3"/>
        <v>142.73333333333335</v>
      </c>
      <c r="T262" s="4">
        <f t="shared" si="3"/>
        <v>150.33333333333334</v>
      </c>
      <c r="U262" s="1">
        <v>155.6</v>
      </c>
      <c r="V262">
        <v>144.1</v>
      </c>
      <c r="W262" s="4">
        <f t="shared" si="4"/>
        <v>146.4</v>
      </c>
      <c r="X262">
        <v>150.69999999999999</v>
      </c>
      <c r="Y262" s="4">
        <f t="shared" si="5"/>
        <v>131.6</v>
      </c>
      <c r="Z262" s="4">
        <f t="shared" si="5"/>
        <v>145.23333333333332</v>
      </c>
      <c r="AA262" s="4">
        <f t="shared" ref="AA262:AD262" si="7">AA259+(AA268-AA259)/3</f>
        <v>156.19999999999999</v>
      </c>
      <c r="AB262" s="4">
        <f t="shared" si="7"/>
        <v>147.33333333333331</v>
      </c>
      <c r="AC262" s="4">
        <f t="shared" si="7"/>
        <v>144.86666666666667</v>
      </c>
      <c r="AD262" s="4">
        <f t="shared" si="7"/>
        <v>149.66666666666666</v>
      </c>
    </row>
    <row r="263" spans="1:30" hidden="1" x14ac:dyDescent="0.4">
      <c r="A263" t="s">
        <v>30</v>
      </c>
      <c r="B263">
        <v>2020</v>
      </c>
      <c r="C263" t="s">
        <v>41</v>
      </c>
      <c r="D263">
        <f>AVERAGE(D260,D266)</f>
        <v>147.69999999999999</v>
      </c>
      <c r="E263" s="4">
        <f>E257+2*(E266-E257)/3</f>
        <v>182.46666666666667</v>
      </c>
      <c r="F263">
        <f>AVERAGE(F260,F266)</f>
        <v>148.15</v>
      </c>
      <c r="G263">
        <f t="shared" ref="G263:P263" si="8">AVERAGE(G260,G266)</f>
        <v>154.44999999999999</v>
      </c>
      <c r="H263">
        <f t="shared" si="8"/>
        <v>137.64999999999998</v>
      </c>
      <c r="I263">
        <f t="shared" si="8"/>
        <v>145.25</v>
      </c>
      <c r="J263">
        <f t="shared" si="8"/>
        <v>155.80000000000001</v>
      </c>
      <c r="K263">
        <f t="shared" si="8"/>
        <v>150.25</v>
      </c>
      <c r="L263">
        <f t="shared" si="8"/>
        <v>116.5</v>
      </c>
      <c r="M263">
        <f t="shared" si="8"/>
        <v>159.25</v>
      </c>
      <c r="N263">
        <f t="shared" si="8"/>
        <v>140.64999999999998</v>
      </c>
      <c r="O263" s="4">
        <f>O257+2*(O266-O257)/3</f>
        <v>161.20000000000002</v>
      </c>
      <c r="P263">
        <f t="shared" si="8"/>
        <v>151.19999999999999</v>
      </c>
      <c r="Q263" s="4">
        <f>Q257+2*(Q266-Q257)/3</f>
        <v>178.43333333333334</v>
      </c>
      <c r="R263" s="4">
        <f>R257+2*(R266-R257)/3</f>
        <v>154.26666666666665</v>
      </c>
      <c r="S263" s="4">
        <f>S257+2*(S266-S257)/3</f>
        <v>149.19999999999999</v>
      </c>
      <c r="T263" s="4">
        <f>T257+2*(T266-T257)/3</f>
        <v>153.56666666666666</v>
      </c>
      <c r="U263" s="1">
        <v>0</v>
      </c>
      <c r="V263">
        <f t="shared" ref="V263" si="9">AVERAGE(V260,V266)</f>
        <v>146.65</v>
      </c>
      <c r="W263" s="4">
        <f>W257+2*(W266-W257)/3</f>
        <v>151.63333333333333</v>
      </c>
      <c r="X263">
        <f t="shared" ref="X263" si="10">AVERAGE(X260,X266)</f>
        <v>156.25</v>
      </c>
      <c r="Y263" s="4">
        <f>Y257+2*(Y266-Y257)/3</f>
        <v>139.53333333333333</v>
      </c>
      <c r="Z263" s="4">
        <f>Z257+2*(Z266-Z257)/3</f>
        <v>152.53333333333333</v>
      </c>
      <c r="AA263" s="4">
        <f t="shared" ref="AA263:AD263" si="11">AA257+2*(AA266-AA257)/3</f>
        <v>161.6</v>
      </c>
      <c r="AB263" s="4">
        <f t="shared" si="11"/>
        <v>149.16666666666666</v>
      </c>
      <c r="AC263" s="4">
        <f t="shared" si="11"/>
        <v>150.66666666666666</v>
      </c>
      <c r="AD263" s="4">
        <f t="shared" si="11"/>
        <v>151.73333333333332</v>
      </c>
    </row>
    <row r="264" spans="1:30" hidden="1" x14ac:dyDescent="0.4">
      <c r="A264" t="s">
        <v>33</v>
      </c>
      <c r="B264">
        <v>2020</v>
      </c>
      <c r="C264" t="s">
        <v>41</v>
      </c>
      <c r="D264">
        <f t="shared" ref="D264:D265" si="12">AVERAGE(D261,D267)</f>
        <v>152.25</v>
      </c>
      <c r="E264" s="4">
        <f t="shared" ref="E264:E265" si="13">E258+2*(E267-E258)/3</f>
        <v>187.16666666666666</v>
      </c>
      <c r="F264">
        <f t="shared" ref="F264:F265" si="14">AVERAGE(F261,F267)</f>
        <v>153.25</v>
      </c>
      <c r="G264">
        <f t="shared" ref="G264:P264" si="15">AVERAGE(G261,G267)</f>
        <v>154.44999999999999</v>
      </c>
      <c r="H264">
        <f t="shared" si="15"/>
        <v>132.25</v>
      </c>
      <c r="I264">
        <f t="shared" si="15"/>
        <v>152.35000000000002</v>
      </c>
      <c r="J264">
        <f t="shared" si="15"/>
        <v>175.6</v>
      </c>
      <c r="K264">
        <f t="shared" si="15"/>
        <v>151.4</v>
      </c>
      <c r="L264">
        <f t="shared" si="15"/>
        <v>118.75</v>
      </c>
      <c r="M264">
        <f t="shared" si="15"/>
        <v>156.4</v>
      </c>
      <c r="N264">
        <f t="shared" si="15"/>
        <v>134.55000000000001</v>
      </c>
      <c r="O264" s="4">
        <f t="shared" ref="O264:O265" si="16">O258+2*(O267-O258)/3</f>
        <v>160.83333333333331</v>
      </c>
      <c r="P264">
        <f t="shared" si="15"/>
        <v>155.25</v>
      </c>
      <c r="Q264" s="4">
        <f t="shared" ref="Q264:T265" si="17">Q258+2*(Q267-Q258)/3</f>
        <v>182.23333333333332</v>
      </c>
      <c r="R264" s="4">
        <f t="shared" si="17"/>
        <v>148.63333333333333</v>
      </c>
      <c r="S264" s="4">
        <f t="shared" si="17"/>
        <v>135.66666666666666</v>
      </c>
      <c r="T264" s="4">
        <f t="shared" si="17"/>
        <v>146.66666666666666</v>
      </c>
      <c r="U264" s="1">
        <v>0</v>
      </c>
      <c r="V264">
        <f t="shared" ref="V264" si="18">AVERAGE(V261,V267)</f>
        <v>137.1</v>
      </c>
      <c r="W264" s="4">
        <f t="shared" ref="W264:W265" si="19">W258+2*(W267-W258)/3</f>
        <v>140.53333333333333</v>
      </c>
      <c r="X264">
        <f t="shared" ref="X264" si="20">AVERAGE(X261,X267)</f>
        <v>146.44999999999999</v>
      </c>
      <c r="Y264" s="4">
        <f t="shared" ref="Y264:Z265" si="21">Y258+2*(Y267-Y258)/3</f>
        <v>127.73333333333333</v>
      </c>
      <c r="Z264" s="4">
        <f t="shared" si="21"/>
        <v>142.30000000000001</v>
      </c>
      <c r="AA264" s="4">
        <f t="shared" ref="AA264:AD264" si="22">AA258+2*(AA267-AA258)/3</f>
        <v>152.5</v>
      </c>
      <c r="AB264" s="4">
        <f t="shared" si="22"/>
        <v>149.9</v>
      </c>
      <c r="AC264" s="4">
        <f t="shared" si="22"/>
        <v>140.9</v>
      </c>
      <c r="AD264" s="4">
        <f t="shared" si="22"/>
        <v>149.63333333333335</v>
      </c>
    </row>
    <row r="265" spans="1:30" x14ac:dyDescent="0.4">
      <c r="A265" t="s">
        <v>35</v>
      </c>
      <c r="B265">
        <v>2020</v>
      </c>
      <c r="C265" t="s">
        <v>41</v>
      </c>
      <c r="D265">
        <f t="shared" si="12"/>
        <v>149.14999999999998</v>
      </c>
      <c r="E265" s="4">
        <f t="shared" si="13"/>
        <v>184.13333333333333</v>
      </c>
      <c r="F265">
        <f t="shared" si="14"/>
        <v>150.10000000000002</v>
      </c>
      <c r="G265">
        <f t="shared" ref="G265:P265" si="23">AVERAGE(G262,G268)</f>
        <v>154.44999999999999</v>
      </c>
      <c r="H265">
        <f t="shared" si="23"/>
        <v>135.69999999999999</v>
      </c>
      <c r="I265">
        <f t="shared" si="23"/>
        <v>148.55000000000001</v>
      </c>
      <c r="J265">
        <f t="shared" si="23"/>
        <v>162.55000000000001</v>
      </c>
      <c r="K265">
        <f t="shared" si="23"/>
        <v>150.65</v>
      </c>
      <c r="L265">
        <f t="shared" si="23"/>
        <v>117.25</v>
      </c>
      <c r="M265">
        <f t="shared" si="23"/>
        <v>158.30000000000001</v>
      </c>
      <c r="N265">
        <f t="shared" si="23"/>
        <v>138.10000000000002</v>
      </c>
      <c r="O265" s="4">
        <f t="shared" si="16"/>
        <v>161.06666666666666</v>
      </c>
      <c r="P265">
        <f t="shared" si="23"/>
        <v>152.69999999999999</v>
      </c>
      <c r="Q265" s="4">
        <f t="shared" si="17"/>
        <v>179.4</v>
      </c>
      <c r="R265" s="4">
        <f t="shared" si="17"/>
        <v>152.06666666666666</v>
      </c>
      <c r="S265" s="4">
        <f t="shared" si="17"/>
        <v>143.56666666666666</v>
      </c>
      <c r="T265" s="4">
        <f t="shared" si="17"/>
        <v>150.86666666666667</v>
      </c>
      <c r="U265" s="1">
        <v>0</v>
      </c>
      <c r="V265">
        <f t="shared" ref="V265" si="24">AVERAGE(V262,V268)</f>
        <v>143</v>
      </c>
      <c r="W265" s="4">
        <f t="shared" si="19"/>
        <v>146.4</v>
      </c>
      <c r="X265">
        <f t="shared" ref="X265" si="25">AVERAGE(X262,X268)</f>
        <v>152.55000000000001</v>
      </c>
      <c r="Y265" s="4">
        <f t="shared" si="21"/>
        <v>133.30000000000001</v>
      </c>
      <c r="Z265" s="4">
        <f t="shared" si="21"/>
        <v>146.76666666666668</v>
      </c>
      <c r="AA265" s="4">
        <f t="shared" ref="AA265:AD265" si="26">AA259+2*(AA268-AA259)/3</f>
        <v>156.30000000000001</v>
      </c>
      <c r="AB265" s="4">
        <f t="shared" si="26"/>
        <v>149.46666666666667</v>
      </c>
      <c r="AC265" s="4">
        <f t="shared" si="26"/>
        <v>145.93333333333334</v>
      </c>
      <c r="AD265" s="4">
        <f t="shared" si="26"/>
        <v>150.73333333333335</v>
      </c>
    </row>
    <row r="266" spans="1:30" hidden="1" x14ac:dyDescent="0.4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s="1">
        <v>0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hidden="1" x14ac:dyDescent="0.4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s="1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4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s="1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hidden="1" x14ac:dyDescent="0.4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s="1">
        <v>0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hidden="1" x14ac:dyDescent="0.4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s="1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4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s="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hidden="1" x14ac:dyDescent="0.4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s="1">
        <v>0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hidden="1" x14ac:dyDescent="0.4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s="1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4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s="1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hidden="1" x14ac:dyDescent="0.4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s="1">
        <v>0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hidden="1" x14ac:dyDescent="0.4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s="1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4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s="1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hidden="1" x14ac:dyDescent="0.4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s="1">
        <v>0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hidden="1" x14ac:dyDescent="0.4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s="1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4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s="1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hidden="1" x14ac:dyDescent="0.4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s="1">
        <v>0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hidden="1" x14ac:dyDescent="0.4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s="1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4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s="1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hidden="1" x14ac:dyDescent="0.4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s="1">
        <v>0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hidden="1" x14ac:dyDescent="0.4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s="1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4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s="1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hidden="1" x14ac:dyDescent="0.4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s="1">
        <v>0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hidden="1" x14ac:dyDescent="0.4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s="1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hidden="1" x14ac:dyDescent="0.4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s="1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hidden="1" x14ac:dyDescent="0.4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s="1">
        <v>0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hidden="1" x14ac:dyDescent="0.4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s="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hidden="1" x14ac:dyDescent="0.4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s="1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hidden="1" x14ac:dyDescent="0.4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s="1">
        <v>0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hidden="1" x14ac:dyDescent="0.4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s="1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hidden="1" x14ac:dyDescent="0.4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s="1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hidden="1" x14ac:dyDescent="0.4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s="1">
        <v>0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hidden="1" x14ac:dyDescent="0.4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s="1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hidden="1" x14ac:dyDescent="0.4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s="1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hidden="1" x14ac:dyDescent="0.4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s="1">
        <v>0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hidden="1" x14ac:dyDescent="0.4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s="1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hidden="1" x14ac:dyDescent="0.4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s="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hidden="1" x14ac:dyDescent="0.4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s="1">
        <v>0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hidden="1" x14ac:dyDescent="0.4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s="1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hidden="1" x14ac:dyDescent="0.4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s="1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hidden="1" x14ac:dyDescent="0.4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s="1">
        <v>0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hidden="1" x14ac:dyDescent="0.4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s="1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hidden="1" x14ac:dyDescent="0.4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s="1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hidden="1" x14ac:dyDescent="0.4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s="1">
        <v>0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hidden="1" x14ac:dyDescent="0.4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s="1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hidden="1" x14ac:dyDescent="0.4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s="1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hidden="1" x14ac:dyDescent="0.4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s="1">
        <v>0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hidden="1" x14ac:dyDescent="0.4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s="1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hidden="1" x14ac:dyDescent="0.4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s="1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hidden="1" x14ac:dyDescent="0.4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s="1">
        <v>0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hidden="1" x14ac:dyDescent="0.4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s="1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hidden="1" x14ac:dyDescent="0.4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s="1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hidden="1" x14ac:dyDescent="0.4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s="1">
        <v>0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hidden="1" x14ac:dyDescent="0.4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s="1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hidden="1" x14ac:dyDescent="0.4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s="1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hidden="1" x14ac:dyDescent="0.4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s="1">
        <v>0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hidden="1" x14ac:dyDescent="0.4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s="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hidden="1" x14ac:dyDescent="0.4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s="1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hidden="1" x14ac:dyDescent="0.4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s="1">
        <v>0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hidden="1" x14ac:dyDescent="0.4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s="1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hidden="1" x14ac:dyDescent="0.4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s="1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hidden="1" x14ac:dyDescent="0.4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s="1">
        <v>0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hidden="1" x14ac:dyDescent="0.4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s="1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hidden="1" x14ac:dyDescent="0.4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s="1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hidden="1" x14ac:dyDescent="0.4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s="1">
        <v>0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hidden="1" x14ac:dyDescent="0.4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s="1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hidden="1" x14ac:dyDescent="0.4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s="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hidden="1" x14ac:dyDescent="0.4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s="1">
        <v>0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hidden="1" x14ac:dyDescent="0.4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s="1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hidden="1" x14ac:dyDescent="0.4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s="1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hidden="1" x14ac:dyDescent="0.4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s="1">
        <v>0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hidden="1" x14ac:dyDescent="0.4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s="1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hidden="1" x14ac:dyDescent="0.4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s="1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hidden="1" x14ac:dyDescent="0.4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s="1">
        <v>0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hidden="1" x14ac:dyDescent="0.4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s="1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hidden="1" x14ac:dyDescent="0.4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s="1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hidden="1" x14ac:dyDescent="0.4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s="1">
        <v>0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hidden="1" x14ac:dyDescent="0.4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s="1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hidden="1" x14ac:dyDescent="0.4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s="1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hidden="1" x14ac:dyDescent="0.4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s="1">
        <v>0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hidden="1" x14ac:dyDescent="0.4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s="1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hidden="1" x14ac:dyDescent="0.4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s="1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hidden="1" x14ac:dyDescent="0.4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s="1">
        <v>0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hidden="1" x14ac:dyDescent="0.4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s="1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hidden="1" x14ac:dyDescent="0.4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s="1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hidden="1" x14ac:dyDescent="0.4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s="1">
        <v>0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hidden="1" x14ac:dyDescent="0.4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s="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hidden="1" x14ac:dyDescent="0.4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s="1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hidden="1" x14ac:dyDescent="0.4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s="1">
        <v>0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hidden="1" x14ac:dyDescent="0.4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s="1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hidden="1" x14ac:dyDescent="0.4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s="1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hidden="1" x14ac:dyDescent="0.4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s="1">
        <v>0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hidden="1" x14ac:dyDescent="0.4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s="1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hidden="1" x14ac:dyDescent="0.4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s="1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hidden="1" x14ac:dyDescent="0.4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s="1">
        <v>0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hidden="1" x14ac:dyDescent="0.4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s="1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hidden="1" x14ac:dyDescent="0.4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s="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hidden="1" x14ac:dyDescent="0.4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s="1">
        <v>0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hidden="1" x14ac:dyDescent="0.4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s="1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hidden="1" x14ac:dyDescent="0.4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s="1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hidden="1" x14ac:dyDescent="0.4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s="1">
        <v>0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hidden="1" x14ac:dyDescent="0.4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s="1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hidden="1" x14ac:dyDescent="0.4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s="1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hidden="1" x14ac:dyDescent="0.4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s="1">
        <v>0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hidden="1" x14ac:dyDescent="0.4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s="1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hidden="1" x14ac:dyDescent="0.4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s="1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hidden="1" x14ac:dyDescent="0.4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s="1">
        <v>0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hidden="1" x14ac:dyDescent="0.4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s="1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hidden="1" x14ac:dyDescent="0.4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s="1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3"/>
  <sheetViews>
    <sheetView topLeftCell="X1" workbookViewId="0">
      <selection activeCell="Y370" sqref="Y370"/>
    </sheetView>
  </sheetViews>
  <sheetFormatPr defaultRowHeight="21" x14ac:dyDescent="0.4"/>
  <cols>
    <col min="1" max="1" width="10.5703125" bestFit="1" customWidth="1"/>
    <col min="2" max="2" width="5.85546875" bestFit="1" customWidth="1"/>
    <col min="3" max="3" width="9.35546875" bestFit="1" customWidth="1"/>
    <col min="4" max="4" width="19.0703125" bestFit="1" customWidth="1"/>
    <col min="5" max="5" width="13.2109375" bestFit="1" customWidth="1"/>
    <col min="6" max="6" width="5.78515625" bestFit="1" customWidth="1"/>
    <col min="7" max="7" width="16.7109375" bestFit="1" customWidth="1"/>
    <col min="8" max="8" width="12.0703125" bestFit="1" customWidth="1"/>
    <col min="9" max="9" width="6.7109375" bestFit="1" customWidth="1"/>
    <col min="10" max="10" width="11.140625" bestFit="1" customWidth="1"/>
    <col min="11" max="11" width="18.140625" bestFit="1" customWidth="1"/>
    <col min="12" max="12" width="22" bestFit="1" customWidth="1"/>
    <col min="13" max="13" width="7.2109375" bestFit="1" customWidth="1"/>
    <col min="14" max="14" width="22.140625" bestFit="1" customWidth="1"/>
    <col min="15" max="15" width="31.2109375" bestFit="1" customWidth="1"/>
    <col min="16" max="16" width="18.42578125" bestFit="1" customWidth="1"/>
    <col min="17" max="17" width="25.0703125" bestFit="1" customWidth="1"/>
    <col min="18" max="18" width="8.85546875" bestFit="1" customWidth="1"/>
    <col min="19" max="19" width="9.92578125" bestFit="1" customWidth="1"/>
    <col min="20" max="20" width="20.28515625" bestFit="1" customWidth="1"/>
    <col min="21" max="21" width="8.7109375" bestFit="1" customWidth="1"/>
    <col min="22" max="22" width="12.92578125" bestFit="1" customWidth="1"/>
    <col min="23" max="23" width="26.7109375" bestFit="1" customWidth="1"/>
    <col min="24" max="24" width="7.5" bestFit="1" customWidth="1"/>
    <col min="25" max="25" width="26.5" bestFit="1" customWidth="1"/>
    <col min="26" max="26" width="24.42578125" bestFit="1" customWidth="1"/>
    <col min="27" max="27" width="10.0703125" bestFit="1" customWidth="1"/>
    <col min="28" max="28" width="22.5703125" bestFit="1" customWidth="1"/>
    <col min="29" max="29" width="13.78515625" bestFit="1" customWidth="1"/>
    <col min="30" max="30" width="13.35546875" bestFit="1" customWidth="1"/>
  </cols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</row>
    <row r="3" spans="1:30" x14ac:dyDescent="0.4">
      <c r="A3" s="1" t="s">
        <v>33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 t="s">
        <v>34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</row>
    <row r="4" spans="1:30" x14ac:dyDescent="0.4">
      <c r="A4" s="1" t="s">
        <v>35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 t="s">
        <v>34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spans="1:30" x14ac:dyDescent="0.4">
      <c r="A5" s="1" t="s">
        <v>30</v>
      </c>
      <c r="B5" s="1">
        <v>2013</v>
      </c>
      <c r="C5" s="1" t="s">
        <v>36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</row>
    <row r="6" spans="1:30" x14ac:dyDescent="0.4">
      <c r="A6" s="1" t="s">
        <v>33</v>
      </c>
      <c r="B6" s="1">
        <v>2013</v>
      </c>
      <c r="C6" s="1" t="s">
        <v>36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 t="s">
        <v>37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spans="1:30" x14ac:dyDescent="0.4">
      <c r="A7" s="1" t="s">
        <v>35</v>
      </c>
      <c r="B7" s="1">
        <v>2013</v>
      </c>
      <c r="C7" s="1" t="s">
        <v>36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 t="s">
        <v>37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spans="1:30" x14ac:dyDescent="0.4">
      <c r="A8" s="1" t="s">
        <v>30</v>
      </c>
      <c r="B8" s="1">
        <v>2013</v>
      </c>
      <c r="C8" s="1" t="s">
        <v>38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</row>
    <row r="9" spans="1:30" x14ac:dyDescent="0.4">
      <c r="A9" s="1" t="s">
        <v>33</v>
      </c>
      <c r="B9" s="1">
        <v>2013</v>
      </c>
      <c r="C9" s="1" t="s">
        <v>38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 t="s">
        <v>37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</row>
    <row r="10" spans="1:30" x14ac:dyDescent="0.4">
      <c r="A10" s="1" t="s">
        <v>35</v>
      </c>
      <c r="B10" s="1">
        <v>2013</v>
      </c>
      <c r="C10" s="1" t="s">
        <v>38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 t="s">
        <v>37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</row>
    <row r="11" spans="1:30" x14ac:dyDescent="0.4">
      <c r="A11" s="1" t="s">
        <v>30</v>
      </c>
      <c r="B11" s="1">
        <v>2013</v>
      </c>
      <c r="C11" s="1" t="s">
        <v>39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spans="1:30" x14ac:dyDescent="0.4">
      <c r="A12" s="1" t="s">
        <v>33</v>
      </c>
      <c r="B12" s="1">
        <v>2013</v>
      </c>
      <c r="C12" s="1" t="s">
        <v>39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 t="s">
        <v>40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</row>
    <row r="13" spans="1:30" x14ac:dyDescent="0.4">
      <c r="A13" s="1" t="s">
        <v>35</v>
      </c>
      <c r="B13" s="1">
        <v>2013</v>
      </c>
      <c r="C13" s="1" t="s">
        <v>39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 t="s">
        <v>40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</row>
    <row r="14" spans="1:30" x14ac:dyDescent="0.4">
      <c r="A14" s="1" t="s">
        <v>30</v>
      </c>
      <c r="B14" s="1">
        <v>2013</v>
      </c>
      <c r="C14" s="1" t="s">
        <v>41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</row>
    <row r="15" spans="1:30" x14ac:dyDescent="0.4">
      <c r="A15" s="1" t="s">
        <v>33</v>
      </c>
      <c r="B15" s="1">
        <v>2013</v>
      </c>
      <c r="C15" s="1" t="s">
        <v>41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 t="s">
        <v>40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spans="1:30" x14ac:dyDescent="0.4">
      <c r="A16" s="1" t="s">
        <v>35</v>
      </c>
      <c r="B16" s="1">
        <v>2013</v>
      </c>
      <c r="C16" s="1" t="s">
        <v>41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 t="s">
        <v>40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spans="1:30" x14ac:dyDescent="0.4">
      <c r="A17" s="1" t="s">
        <v>30</v>
      </c>
      <c r="B17" s="1">
        <v>2013</v>
      </c>
      <c r="C17" s="1" t="s">
        <v>42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spans="1:30" x14ac:dyDescent="0.4">
      <c r="A18" s="1" t="s">
        <v>33</v>
      </c>
      <c r="B18" s="1">
        <v>2013</v>
      </c>
      <c r="C18" s="1" t="s">
        <v>42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 t="s">
        <v>43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spans="1:30" x14ac:dyDescent="0.4">
      <c r="A19" s="1" t="s">
        <v>35</v>
      </c>
      <c r="B19" s="1">
        <v>2013</v>
      </c>
      <c r="C19" s="1" t="s">
        <v>42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 t="s">
        <v>43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spans="1:30" x14ac:dyDescent="0.4">
      <c r="A20" s="1" t="s">
        <v>30</v>
      </c>
      <c r="B20" s="1">
        <v>2013</v>
      </c>
      <c r="C20" s="1" t="s">
        <v>44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spans="1:30" x14ac:dyDescent="0.4">
      <c r="A21" s="1" t="s">
        <v>33</v>
      </c>
      <c r="B21" s="1">
        <v>2013</v>
      </c>
      <c r="C21" s="1" t="s">
        <v>44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 t="s">
        <v>45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spans="1:30" x14ac:dyDescent="0.4">
      <c r="A22" s="1" t="s">
        <v>35</v>
      </c>
      <c r="B22" s="1">
        <v>2013</v>
      </c>
      <c r="C22" s="1" t="s">
        <v>44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 t="s">
        <v>45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</row>
    <row r="23" spans="1:30" x14ac:dyDescent="0.4">
      <c r="A23" s="1" t="s">
        <v>30</v>
      </c>
      <c r="B23" s="1">
        <v>2013</v>
      </c>
      <c r="C23" s="1" t="s">
        <v>46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</row>
    <row r="24" spans="1:30" x14ac:dyDescent="0.4">
      <c r="A24" s="1" t="s">
        <v>33</v>
      </c>
      <c r="B24" s="1">
        <v>2013</v>
      </c>
      <c r="C24" s="1" t="s">
        <v>46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 t="s">
        <v>47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</row>
    <row r="25" spans="1:30" x14ac:dyDescent="0.4">
      <c r="A25" s="1" t="s">
        <v>35</v>
      </c>
      <c r="B25" s="1">
        <v>2013</v>
      </c>
      <c r="C25" s="1" t="s">
        <v>46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 t="s">
        <v>47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spans="1:30" x14ac:dyDescent="0.4">
      <c r="A26" s="1" t="s">
        <v>30</v>
      </c>
      <c r="B26" s="1">
        <v>2013</v>
      </c>
      <c r="C26" s="1" t="s">
        <v>48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spans="1:30" x14ac:dyDescent="0.4">
      <c r="A27" s="1" t="s">
        <v>33</v>
      </c>
      <c r="B27" s="1">
        <v>2013</v>
      </c>
      <c r="C27" s="1" t="s">
        <v>48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 t="s">
        <v>49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spans="1:30" x14ac:dyDescent="0.4">
      <c r="A28" s="1" t="s">
        <v>35</v>
      </c>
      <c r="B28" s="1">
        <v>2013</v>
      </c>
      <c r="C28" s="1" t="s">
        <v>48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 t="s">
        <v>49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</row>
    <row r="29" spans="1:30" x14ac:dyDescent="0.4">
      <c r="A29" s="1" t="s">
        <v>30</v>
      </c>
      <c r="B29" s="1">
        <v>2013</v>
      </c>
      <c r="C29" s="1" t="s">
        <v>50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spans="1:30" x14ac:dyDescent="0.4">
      <c r="A30" s="1" t="s">
        <v>33</v>
      </c>
      <c r="B30" s="1">
        <v>2013</v>
      </c>
      <c r="C30" s="1" t="s">
        <v>50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 t="s">
        <v>51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</row>
    <row r="31" spans="1:30" x14ac:dyDescent="0.4">
      <c r="A31" s="1" t="s">
        <v>35</v>
      </c>
      <c r="B31" s="1">
        <v>2013</v>
      </c>
      <c r="C31" s="1" t="s">
        <v>50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 t="s">
        <v>51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spans="1:30" x14ac:dyDescent="0.4">
      <c r="A32" s="1" t="s">
        <v>30</v>
      </c>
      <c r="B32" s="1">
        <v>2013</v>
      </c>
      <c r="C32" s="1" t="s">
        <v>52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</row>
    <row r="33" spans="1:30" x14ac:dyDescent="0.4">
      <c r="A33" s="1" t="s">
        <v>33</v>
      </c>
      <c r="B33" s="1">
        <v>2013</v>
      </c>
      <c r="C33" s="1" t="s">
        <v>53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 t="s">
        <v>54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</row>
    <row r="34" spans="1:30" x14ac:dyDescent="0.4">
      <c r="A34" s="1" t="s">
        <v>35</v>
      </c>
      <c r="B34" s="1">
        <v>2013</v>
      </c>
      <c r="C34" s="1" t="s">
        <v>53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 t="s">
        <v>54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spans="1:30" x14ac:dyDescent="0.4">
      <c r="A35" s="1" t="s">
        <v>30</v>
      </c>
      <c r="B35" s="1">
        <v>2013</v>
      </c>
      <c r="C35" s="1" t="s">
        <v>55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spans="1:30" x14ac:dyDescent="0.4">
      <c r="A36" s="1" t="s">
        <v>33</v>
      </c>
      <c r="B36" s="1">
        <v>2013</v>
      </c>
      <c r="C36" s="1" t="s">
        <v>55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 t="s">
        <v>56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spans="1:30" x14ac:dyDescent="0.4">
      <c r="A37" s="1" t="s">
        <v>35</v>
      </c>
      <c r="B37" s="1">
        <v>2013</v>
      </c>
      <c r="C37" s="1" t="s">
        <v>55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 t="s">
        <v>56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</row>
    <row r="38" spans="1:30" x14ac:dyDescent="0.4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spans="1:30" x14ac:dyDescent="0.4">
      <c r="A39" s="1" t="s">
        <v>33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 t="s">
        <v>57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</row>
    <row r="40" spans="1:30" x14ac:dyDescent="0.4">
      <c r="A40" s="1" t="s">
        <v>35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 t="s">
        <v>57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spans="1:30" x14ac:dyDescent="0.4">
      <c r="A41" s="1" t="s">
        <v>30</v>
      </c>
      <c r="B41" s="1">
        <v>2014</v>
      </c>
      <c r="C41" s="1" t="s">
        <v>36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</row>
    <row r="42" spans="1:30" x14ac:dyDescent="0.4">
      <c r="A42" s="1" t="s">
        <v>33</v>
      </c>
      <c r="B42" s="1">
        <v>2014</v>
      </c>
      <c r="C42" s="1" t="s">
        <v>36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 t="s">
        <v>58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</row>
    <row r="43" spans="1:30" x14ac:dyDescent="0.4">
      <c r="A43" s="1" t="s">
        <v>35</v>
      </c>
      <c r="B43" s="1">
        <v>2014</v>
      </c>
      <c r="C43" s="1" t="s">
        <v>36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 t="s">
        <v>58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spans="1:30" x14ac:dyDescent="0.4">
      <c r="A44" s="1" t="s">
        <v>30</v>
      </c>
      <c r="B44" s="1">
        <v>2014</v>
      </c>
      <c r="C44" s="1" t="s">
        <v>38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spans="1:30" x14ac:dyDescent="0.4">
      <c r="A45" s="1" t="s">
        <v>33</v>
      </c>
      <c r="B45" s="1">
        <v>2014</v>
      </c>
      <c r="C45" s="1" t="s">
        <v>38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 t="s">
        <v>59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spans="1:30" x14ac:dyDescent="0.4">
      <c r="A46" s="1" t="s">
        <v>35</v>
      </c>
      <c r="B46" s="1">
        <v>2014</v>
      </c>
      <c r="C46" s="1" t="s">
        <v>60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 t="s">
        <v>59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</row>
    <row r="47" spans="1:30" x14ac:dyDescent="0.4">
      <c r="A47" s="1" t="s">
        <v>30</v>
      </c>
      <c r="B47" s="1">
        <v>2014</v>
      </c>
      <c r="C47" s="1" t="s">
        <v>39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</row>
    <row r="48" spans="1:30" x14ac:dyDescent="0.4">
      <c r="A48" s="1" t="s">
        <v>33</v>
      </c>
      <c r="B48" s="1">
        <v>2014</v>
      </c>
      <c r="C48" s="1" t="s">
        <v>39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 t="s">
        <v>61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spans="1:30" x14ac:dyDescent="0.4">
      <c r="A49" s="1" t="s">
        <v>35</v>
      </c>
      <c r="B49" s="1">
        <v>2014</v>
      </c>
      <c r="C49" s="1" t="s">
        <v>39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 t="s">
        <v>61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</row>
    <row r="50" spans="1:30" x14ac:dyDescent="0.4">
      <c r="A50" s="1" t="s">
        <v>30</v>
      </c>
      <c r="B50" s="1">
        <v>2014</v>
      </c>
      <c r="C50" s="1" t="s">
        <v>41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</row>
    <row r="51" spans="1:30" x14ac:dyDescent="0.4">
      <c r="A51" s="1" t="s">
        <v>33</v>
      </c>
      <c r="B51" s="1">
        <v>2014</v>
      </c>
      <c r="C51" s="1" t="s">
        <v>41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 t="s">
        <v>62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spans="1:30" x14ac:dyDescent="0.4">
      <c r="A52" s="1" t="s">
        <v>35</v>
      </c>
      <c r="B52" s="1">
        <v>2014</v>
      </c>
      <c r="C52" s="1" t="s">
        <v>41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 t="s">
        <v>62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</row>
    <row r="53" spans="1:30" x14ac:dyDescent="0.4">
      <c r="A53" s="1" t="s">
        <v>30</v>
      </c>
      <c r="B53" s="1">
        <v>2014</v>
      </c>
      <c r="C53" s="1" t="s">
        <v>42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</row>
    <row r="54" spans="1:30" x14ac:dyDescent="0.4">
      <c r="A54" s="1" t="s">
        <v>33</v>
      </c>
      <c r="B54" s="1">
        <v>2014</v>
      </c>
      <c r="C54" s="1" t="s">
        <v>42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 t="s">
        <v>61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spans="1:30" x14ac:dyDescent="0.4">
      <c r="A55" s="1" t="s">
        <v>35</v>
      </c>
      <c r="B55" s="1">
        <v>2014</v>
      </c>
      <c r="C55" s="1" t="s">
        <v>42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 t="s">
        <v>61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spans="1:30" x14ac:dyDescent="0.4">
      <c r="A56" s="1" t="s">
        <v>30</v>
      </c>
      <c r="B56" s="1">
        <v>2014</v>
      </c>
      <c r="C56" s="1" t="s">
        <v>44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spans="1:30" x14ac:dyDescent="0.4">
      <c r="A57" s="1" t="s">
        <v>33</v>
      </c>
      <c r="B57" s="1">
        <v>2014</v>
      </c>
      <c r="C57" s="1" t="s">
        <v>44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 t="s">
        <v>63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spans="1:30" x14ac:dyDescent="0.4">
      <c r="A58" s="1" t="s">
        <v>35</v>
      </c>
      <c r="B58" s="1">
        <v>2014</v>
      </c>
      <c r="C58" s="1" t="s">
        <v>44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 t="s">
        <v>63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spans="1:30" x14ac:dyDescent="0.4">
      <c r="A59" s="1" t="s">
        <v>30</v>
      </c>
      <c r="B59" s="1">
        <v>2014</v>
      </c>
      <c r="C59" s="1" t="s">
        <v>46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spans="1:30" x14ac:dyDescent="0.4">
      <c r="A60" s="1" t="s">
        <v>33</v>
      </c>
      <c r="B60" s="1">
        <v>2014</v>
      </c>
      <c r="C60" s="1" t="s">
        <v>46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 t="s">
        <v>64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spans="1:30" x14ac:dyDescent="0.4">
      <c r="A61" s="1" t="s">
        <v>35</v>
      </c>
      <c r="B61" s="1">
        <v>2014</v>
      </c>
      <c r="C61" s="1" t="s">
        <v>46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 t="s">
        <v>64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</row>
    <row r="62" spans="1:30" x14ac:dyDescent="0.4">
      <c r="A62" s="1" t="s">
        <v>30</v>
      </c>
      <c r="B62" s="1">
        <v>2014</v>
      </c>
      <c r="C62" s="1" t="s">
        <v>48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spans="1:30" x14ac:dyDescent="0.4">
      <c r="A63" s="1" t="s">
        <v>33</v>
      </c>
      <c r="B63" s="1">
        <v>2014</v>
      </c>
      <c r="C63" s="1" t="s">
        <v>48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 t="s">
        <v>65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</row>
    <row r="64" spans="1:30" x14ac:dyDescent="0.4">
      <c r="A64" s="1" t="s">
        <v>35</v>
      </c>
      <c r="B64" s="1">
        <v>2014</v>
      </c>
      <c r="C64" s="1" t="s">
        <v>48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 t="s">
        <v>65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spans="1:30" x14ac:dyDescent="0.4">
      <c r="A65" s="1" t="s">
        <v>30</v>
      </c>
      <c r="B65" s="1">
        <v>2014</v>
      </c>
      <c r="C65" s="1" t="s">
        <v>50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</row>
    <row r="66" spans="1:30" x14ac:dyDescent="0.4">
      <c r="A66" s="1" t="s">
        <v>33</v>
      </c>
      <c r="B66" s="1">
        <v>2014</v>
      </c>
      <c r="C66" s="1" t="s">
        <v>50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 t="s">
        <v>66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spans="1:30" x14ac:dyDescent="0.4">
      <c r="A67" s="1" t="s">
        <v>35</v>
      </c>
      <c r="B67" s="1">
        <v>2014</v>
      </c>
      <c r="C67" s="1" t="s">
        <v>50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 t="s">
        <v>66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spans="1:30" x14ac:dyDescent="0.4">
      <c r="A68" s="1" t="s">
        <v>30</v>
      </c>
      <c r="B68" s="1">
        <v>2014</v>
      </c>
      <c r="C68" s="1" t="s">
        <v>53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spans="1:30" x14ac:dyDescent="0.4">
      <c r="A69" s="1" t="s">
        <v>33</v>
      </c>
      <c r="B69" s="1">
        <v>2014</v>
      </c>
      <c r="C69" s="1" t="s">
        <v>53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 t="s">
        <v>67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</row>
    <row r="70" spans="1:30" x14ac:dyDescent="0.4">
      <c r="A70" s="1" t="s">
        <v>35</v>
      </c>
      <c r="B70" s="1">
        <v>2014</v>
      </c>
      <c r="C70" s="1" t="s">
        <v>53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 t="s">
        <v>67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</row>
    <row r="71" spans="1:30" x14ac:dyDescent="0.4">
      <c r="A71" s="1" t="s">
        <v>30</v>
      </c>
      <c r="B71" s="1">
        <v>2014</v>
      </c>
      <c r="C71" s="1" t="s">
        <v>55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spans="1:30" x14ac:dyDescent="0.4">
      <c r="A72" s="1" t="s">
        <v>33</v>
      </c>
      <c r="B72" s="1">
        <v>2014</v>
      </c>
      <c r="C72" s="1" t="s">
        <v>55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 t="s">
        <v>68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spans="1:30" x14ac:dyDescent="0.4">
      <c r="A73" s="1" t="s">
        <v>35</v>
      </c>
      <c r="B73" s="1">
        <v>2014</v>
      </c>
      <c r="C73" s="1" t="s">
        <v>55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 t="s">
        <v>68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spans="1:30" x14ac:dyDescent="0.4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</row>
    <row r="75" spans="1:30" x14ac:dyDescent="0.4">
      <c r="A75" s="1" t="s">
        <v>33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 t="s">
        <v>69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spans="1:30" x14ac:dyDescent="0.4">
      <c r="A76" s="1" t="s">
        <v>35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 t="s">
        <v>69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</row>
    <row r="77" spans="1:30" x14ac:dyDescent="0.4">
      <c r="A77" s="1" t="s">
        <v>30</v>
      </c>
      <c r="B77" s="1">
        <v>2015</v>
      </c>
      <c r="C77" s="1" t="s">
        <v>36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 t="s">
        <v>32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</row>
    <row r="78" spans="1:30" x14ac:dyDescent="0.4">
      <c r="A78" s="1" t="s">
        <v>33</v>
      </c>
      <c r="B78" s="1">
        <v>2015</v>
      </c>
      <c r="C78" s="1" t="s">
        <v>36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 t="s">
        <v>70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spans="1:30" x14ac:dyDescent="0.4">
      <c r="A79" s="1" t="s">
        <v>35</v>
      </c>
      <c r="B79" s="1">
        <v>2015</v>
      </c>
      <c r="C79" s="1" t="s">
        <v>36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 t="s">
        <v>70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spans="1:30" x14ac:dyDescent="0.4">
      <c r="A80" s="1" t="s">
        <v>30</v>
      </c>
      <c r="B80" s="1">
        <v>2015</v>
      </c>
      <c r="C80" s="1" t="s">
        <v>38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spans="1:30" x14ac:dyDescent="0.4">
      <c r="A81" s="1" t="s">
        <v>33</v>
      </c>
      <c r="B81" s="1">
        <v>2015</v>
      </c>
      <c r="C81" s="1" t="s">
        <v>38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 t="s">
        <v>71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spans="1:30" x14ac:dyDescent="0.4">
      <c r="A82" s="1" t="s">
        <v>35</v>
      </c>
      <c r="B82" s="1">
        <v>2015</v>
      </c>
      <c r="C82" s="1" t="s">
        <v>38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 t="s">
        <v>71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</row>
    <row r="83" spans="1:30" x14ac:dyDescent="0.4">
      <c r="A83" s="1" t="s">
        <v>30</v>
      </c>
      <c r="B83" s="1">
        <v>2015</v>
      </c>
      <c r="C83" s="1" t="s">
        <v>39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</row>
    <row r="84" spans="1:30" x14ac:dyDescent="0.4">
      <c r="A84" s="1" t="s">
        <v>33</v>
      </c>
      <c r="B84" s="1">
        <v>2015</v>
      </c>
      <c r="C84" s="1" t="s">
        <v>39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 t="s">
        <v>72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spans="1:30" x14ac:dyDescent="0.4">
      <c r="A85" s="1" t="s">
        <v>35</v>
      </c>
      <c r="B85" s="1">
        <v>2015</v>
      </c>
      <c r="C85" s="1" t="s">
        <v>39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 t="s">
        <v>72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</row>
    <row r="86" spans="1:30" x14ac:dyDescent="0.4">
      <c r="A86" s="1" t="s">
        <v>30</v>
      </c>
      <c r="B86" s="1">
        <v>2015</v>
      </c>
      <c r="C86" s="1" t="s">
        <v>41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spans="1:30" x14ac:dyDescent="0.4">
      <c r="A87" s="1" t="s">
        <v>33</v>
      </c>
      <c r="B87" s="1">
        <v>2015</v>
      </c>
      <c r="C87" s="1" t="s">
        <v>41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 t="s">
        <v>73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</row>
    <row r="88" spans="1:30" x14ac:dyDescent="0.4">
      <c r="A88" s="1" t="s">
        <v>35</v>
      </c>
      <c r="B88" s="1">
        <v>2015</v>
      </c>
      <c r="C88" s="1" t="s">
        <v>41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 t="s">
        <v>73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spans="1:30" x14ac:dyDescent="0.4">
      <c r="A89" s="1" t="s">
        <v>30</v>
      </c>
      <c r="B89" s="1">
        <v>2015</v>
      </c>
      <c r="C89" s="1" t="s">
        <v>42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</row>
    <row r="90" spans="1:30" x14ac:dyDescent="0.4">
      <c r="A90" s="1" t="s">
        <v>33</v>
      </c>
      <c r="B90" s="1">
        <v>2015</v>
      </c>
      <c r="C90" s="1" t="s">
        <v>42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 t="s">
        <v>74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</row>
    <row r="91" spans="1:30" x14ac:dyDescent="0.4">
      <c r="A91" s="1" t="s">
        <v>35</v>
      </c>
      <c r="B91" s="1">
        <v>2015</v>
      </c>
      <c r="C91" s="1" t="s">
        <v>42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 t="s">
        <v>74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</row>
    <row r="92" spans="1:30" x14ac:dyDescent="0.4">
      <c r="A92" s="1" t="s">
        <v>30</v>
      </c>
      <c r="B92" s="1">
        <v>2015</v>
      </c>
      <c r="C92" s="1" t="s">
        <v>44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 t="s">
        <v>32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</row>
    <row r="93" spans="1:30" x14ac:dyDescent="0.4">
      <c r="A93" s="1" t="s">
        <v>33</v>
      </c>
      <c r="B93" s="1">
        <v>2015</v>
      </c>
      <c r="C93" s="1" t="s">
        <v>44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 t="s">
        <v>75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spans="1:30" x14ac:dyDescent="0.4">
      <c r="A94" s="1" t="s">
        <v>35</v>
      </c>
      <c r="B94" s="1">
        <v>2015</v>
      </c>
      <c r="C94" s="1" t="s">
        <v>44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 t="s">
        <v>75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spans="1:30" x14ac:dyDescent="0.4">
      <c r="A95" s="1" t="s">
        <v>30</v>
      </c>
      <c r="B95" s="1">
        <v>2015</v>
      </c>
      <c r="C95" s="1" t="s">
        <v>46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spans="1:30" x14ac:dyDescent="0.4">
      <c r="A96" s="1" t="s">
        <v>33</v>
      </c>
      <c r="B96" s="1">
        <v>2015</v>
      </c>
      <c r="C96" s="1" t="s">
        <v>46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 t="s">
        <v>76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</row>
    <row r="97" spans="1:30" x14ac:dyDescent="0.4">
      <c r="A97" s="1" t="s">
        <v>35</v>
      </c>
      <c r="B97" s="1">
        <v>2015</v>
      </c>
      <c r="C97" s="1" t="s">
        <v>46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 t="s">
        <v>76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spans="1:30" x14ac:dyDescent="0.4">
      <c r="A98" s="1" t="s">
        <v>30</v>
      </c>
      <c r="B98" s="1">
        <v>2015</v>
      </c>
      <c r="C98" s="1" t="s">
        <v>48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</row>
    <row r="99" spans="1:30" x14ac:dyDescent="0.4">
      <c r="A99" s="1" t="s">
        <v>33</v>
      </c>
      <c r="B99" s="1">
        <v>2015</v>
      </c>
      <c r="C99" s="1" t="s">
        <v>48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 t="s">
        <v>77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spans="1:30" x14ac:dyDescent="0.4">
      <c r="A100" s="1" t="s">
        <v>35</v>
      </c>
      <c r="B100" s="1">
        <v>2015</v>
      </c>
      <c r="C100" s="1" t="s">
        <v>48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 t="s">
        <v>77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spans="1:30" x14ac:dyDescent="0.4">
      <c r="A101" s="1" t="s">
        <v>30</v>
      </c>
      <c r="B101" s="1">
        <v>2015</v>
      </c>
      <c r="C101" s="1" t="s">
        <v>50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spans="1:30" x14ac:dyDescent="0.4">
      <c r="A102" s="1" t="s">
        <v>33</v>
      </c>
      <c r="B102" s="1">
        <v>2015</v>
      </c>
      <c r="C102" s="1" t="s">
        <v>50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 t="s">
        <v>78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spans="1:30" x14ac:dyDescent="0.4">
      <c r="A103" s="1" t="s">
        <v>35</v>
      </c>
      <c r="B103" s="1">
        <v>2015</v>
      </c>
      <c r="C103" s="1" t="s">
        <v>50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 t="s">
        <v>78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spans="1:30" x14ac:dyDescent="0.4">
      <c r="A104" s="1" t="s">
        <v>30</v>
      </c>
      <c r="B104" s="1">
        <v>2015</v>
      </c>
      <c r="C104" s="1" t="s">
        <v>53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</row>
    <row r="105" spans="1:30" x14ac:dyDescent="0.4">
      <c r="A105" s="1" t="s">
        <v>33</v>
      </c>
      <c r="B105" s="1">
        <v>2015</v>
      </c>
      <c r="C105" s="1" t="s">
        <v>53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 t="s">
        <v>79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spans="1:30" x14ac:dyDescent="0.4">
      <c r="A106" s="1" t="s">
        <v>35</v>
      </c>
      <c r="B106" s="1">
        <v>2015</v>
      </c>
      <c r="C106" s="1" t="s">
        <v>53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 t="s">
        <v>79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spans="1:30" x14ac:dyDescent="0.4">
      <c r="A107" s="1" t="s">
        <v>30</v>
      </c>
      <c r="B107" s="1">
        <v>2015</v>
      </c>
      <c r="C107" s="1" t="s">
        <v>55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spans="1:30" x14ac:dyDescent="0.4">
      <c r="A108" s="1" t="s">
        <v>33</v>
      </c>
      <c r="B108" s="1">
        <v>2015</v>
      </c>
      <c r="C108" s="1" t="s">
        <v>55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 t="s">
        <v>78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</row>
    <row r="109" spans="1:30" x14ac:dyDescent="0.4">
      <c r="A109" s="1" t="s">
        <v>35</v>
      </c>
      <c r="B109" s="1">
        <v>2015</v>
      </c>
      <c r="C109" s="1" t="s">
        <v>55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 t="s">
        <v>78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spans="1:30" x14ac:dyDescent="0.4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spans="1:30" x14ac:dyDescent="0.4">
      <c r="A111" s="1" t="s">
        <v>33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 t="s">
        <v>80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</row>
    <row r="112" spans="1:30" x14ac:dyDescent="0.4">
      <c r="A112" s="1" t="s">
        <v>35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 t="s">
        <v>80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spans="1:30" x14ac:dyDescent="0.4">
      <c r="A113" s="1" t="s">
        <v>30</v>
      </c>
      <c r="B113" s="1">
        <v>2016</v>
      </c>
      <c r="C113" s="1" t="s">
        <v>36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spans="1:30" x14ac:dyDescent="0.4">
      <c r="A114" s="1" t="s">
        <v>33</v>
      </c>
      <c r="B114" s="1">
        <v>2016</v>
      </c>
      <c r="C114" s="1" t="s">
        <v>36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 t="s">
        <v>81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spans="1:30" x14ac:dyDescent="0.4">
      <c r="A115" s="1" t="s">
        <v>35</v>
      </c>
      <c r="B115" s="1">
        <v>2016</v>
      </c>
      <c r="C115" s="1" t="s">
        <v>36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 t="s">
        <v>81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</row>
    <row r="116" spans="1:30" x14ac:dyDescent="0.4">
      <c r="A116" s="1" t="s">
        <v>30</v>
      </c>
      <c r="B116" s="1">
        <v>2016</v>
      </c>
      <c r="C116" s="1" t="s">
        <v>38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 t="s">
        <v>32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</row>
    <row r="117" spans="1:30" x14ac:dyDescent="0.4">
      <c r="A117" s="1" t="s">
        <v>33</v>
      </c>
      <c r="B117" s="1">
        <v>2016</v>
      </c>
      <c r="C117" s="1" t="s">
        <v>38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 t="s">
        <v>82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spans="1:30" x14ac:dyDescent="0.4">
      <c r="A118" s="1" t="s">
        <v>35</v>
      </c>
      <c r="B118" s="1">
        <v>2016</v>
      </c>
      <c r="C118" s="1" t="s">
        <v>38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 t="s">
        <v>82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</row>
    <row r="119" spans="1:30" x14ac:dyDescent="0.4">
      <c r="A119" s="1" t="s">
        <v>30</v>
      </c>
      <c r="B119" s="1">
        <v>2016</v>
      </c>
      <c r="C119" s="1" t="s">
        <v>39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 t="s">
        <v>32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</row>
    <row r="120" spans="1:30" x14ac:dyDescent="0.4">
      <c r="A120" s="1" t="s">
        <v>33</v>
      </c>
      <c r="B120" s="1">
        <v>2016</v>
      </c>
      <c r="C120" s="1" t="s">
        <v>39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 t="s">
        <v>83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spans="1:30" x14ac:dyDescent="0.4">
      <c r="A121" s="1" t="s">
        <v>35</v>
      </c>
      <c r="B121" s="1">
        <v>2016</v>
      </c>
      <c r="C121" s="1" t="s">
        <v>39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 t="s">
        <v>83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</row>
    <row r="122" spans="1:30" x14ac:dyDescent="0.4">
      <c r="A122" s="1" t="s">
        <v>30</v>
      </c>
      <c r="B122" s="1">
        <v>2016</v>
      </c>
      <c r="C122" s="1" t="s">
        <v>41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</row>
    <row r="123" spans="1:30" x14ac:dyDescent="0.4">
      <c r="A123" s="1" t="s">
        <v>33</v>
      </c>
      <c r="B123" s="1">
        <v>2016</v>
      </c>
      <c r="C123" s="1" t="s">
        <v>41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 t="s">
        <v>84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</row>
    <row r="124" spans="1:30" x14ac:dyDescent="0.4">
      <c r="A124" s="1" t="s">
        <v>35</v>
      </c>
      <c r="B124" s="1">
        <v>2016</v>
      </c>
      <c r="C124" s="1" t="s">
        <v>41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 t="s">
        <v>84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spans="1:30" x14ac:dyDescent="0.4">
      <c r="A125" s="1" t="s">
        <v>30</v>
      </c>
      <c r="B125" s="1">
        <v>2016</v>
      </c>
      <c r="C125" s="1" t="s">
        <v>42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 t="s">
        <v>32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</row>
    <row r="126" spans="1:30" x14ac:dyDescent="0.4">
      <c r="A126" s="1" t="s">
        <v>33</v>
      </c>
      <c r="B126" s="1">
        <v>2016</v>
      </c>
      <c r="C126" s="1" t="s">
        <v>42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 t="s">
        <v>85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</row>
    <row r="127" spans="1:30" x14ac:dyDescent="0.4">
      <c r="A127" s="1" t="s">
        <v>35</v>
      </c>
      <c r="B127" s="1">
        <v>2016</v>
      </c>
      <c r="C127" s="1" t="s">
        <v>42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 t="s">
        <v>85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</row>
    <row r="128" spans="1:30" x14ac:dyDescent="0.4">
      <c r="A128" s="1" t="s">
        <v>30</v>
      </c>
      <c r="B128" s="1">
        <v>2016</v>
      </c>
      <c r="C128" s="1" t="s">
        <v>44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 t="s">
        <v>32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</row>
    <row r="129" spans="1:30" x14ac:dyDescent="0.4">
      <c r="A129" s="1" t="s">
        <v>33</v>
      </c>
      <c r="B129" s="1">
        <v>2016</v>
      </c>
      <c r="C129" s="1" t="s">
        <v>44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 t="s">
        <v>86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</row>
    <row r="130" spans="1:30" x14ac:dyDescent="0.4">
      <c r="A130" s="1" t="s">
        <v>35</v>
      </c>
      <c r="B130" s="1">
        <v>2016</v>
      </c>
      <c r="C130" s="1" t="s">
        <v>44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 t="s">
        <v>86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</row>
    <row r="131" spans="1:30" x14ac:dyDescent="0.4">
      <c r="A131" s="1" t="s">
        <v>30</v>
      </c>
      <c r="B131" s="1">
        <v>2016</v>
      </c>
      <c r="C131" s="1" t="s">
        <v>46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</row>
    <row r="132" spans="1:30" x14ac:dyDescent="0.4">
      <c r="A132" s="1" t="s">
        <v>33</v>
      </c>
      <c r="B132" s="1">
        <v>2016</v>
      </c>
      <c r="C132" s="1" t="s">
        <v>46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 t="s">
        <v>87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spans="1:30" x14ac:dyDescent="0.4">
      <c r="A133" s="1" t="s">
        <v>35</v>
      </c>
      <c r="B133" s="1">
        <v>2016</v>
      </c>
      <c r="C133" s="1" t="s">
        <v>46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 t="s">
        <v>87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</row>
    <row r="134" spans="1:30" x14ac:dyDescent="0.4">
      <c r="A134" s="1" t="s">
        <v>30</v>
      </c>
      <c r="B134" s="1">
        <v>2016</v>
      </c>
      <c r="C134" s="1" t="s">
        <v>48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 t="s">
        <v>32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</row>
    <row r="135" spans="1:30" x14ac:dyDescent="0.4">
      <c r="A135" s="1" t="s">
        <v>33</v>
      </c>
      <c r="B135" s="1">
        <v>2016</v>
      </c>
      <c r="C135" s="1" t="s">
        <v>48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 t="s">
        <v>88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</row>
    <row r="136" spans="1:30" x14ac:dyDescent="0.4">
      <c r="A136" s="1" t="s">
        <v>35</v>
      </c>
      <c r="B136" s="1">
        <v>2016</v>
      </c>
      <c r="C136" s="1" t="s">
        <v>48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 t="s">
        <v>88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</row>
    <row r="137" spans="1:30" x14ac:dyDescent="0.4">
      <c r="A137" s="1" t="s">
        <v>30</v>
      </c>
      <c r="B137" s="1">
        <v>2016</v>
      </c>
      <c r="C137" s="1" t="s">
        <v>50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 t="s">
        <v>32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</row>
    <row r="138" spans="1:30" x14ac:dyDescent="0.4">
      <c r="A138" s="1" t="s">
        <v>33</v>
      </c>
      <c r="B138" s="1">
        <v>2016</v>
      </c>
      <c r="C138" s="1" t="s">
        <v>50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 t="s">
        <v>89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spans="1:30" x14ac:dyDescent="0.4">
      <c r="A139" s="1" t="s">
        <v>35</v>
      </c>
      <c r="B139" s="1">
        <v>2016</v>
      </c>
      <c r="C139" s="1" t="s">
        <v>50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 t="s">
        <v>89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spans="1:30" x14ac:dyDescent="0.4">
      <c r="A140" s="1" t="s">
        <v>30</v>
      </c>
      <c r="B140" s="1">
        <v>2016</v>
      </c>
      <c r="C140" s="1" t="s">
        <v>53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 t="s">
        <v>32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</row>
    <row r="141" spans="1:30" x14ac:dyDescent="0.4">
      <c r="A141" s="1" t="s">
        <v>33</v>
      </c>
      <c r="B141" s="1">
        <v>2016</v>
      </c>
      <c r="C141" s="1" t="s">
        <v>53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 t="s">
        <v>90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spans="1:30" x14ac:dyDescent="0.4">
      <c r="A142" s="1" t="s">
        <v>35</v>
      </c>
      <c r="B142" s="1">
        <v>2016</v>
      </c>
      <c r="C142" s="1" t="s">
        <v>53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 t="s">
        <v>90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</row>
    <row r="143" spans="1:30" x14ac:dyDescent="0.4">
      <c r="A143" s="1" t="s">
        <v>30</v>
      </c>
      <c r="B143" s="1">
        <v>2016</v>
      </c>
      <c r="C143" s="1" t="s">
        <v>55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 t="s">
        <v>32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</row>
    <row r="144" spans="1:30" x14ac:dyDescent="0.4">
      <c r="A144" s="1" t="s">
        <v>33</v>
      </c>
      <c r="B144" s="1">
        <v>2016</v>
      </c>
      <c r="C144" s="1" t="s">
        <v>55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 t="s">
        <v>91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</row>
    <row r="145" spans="1:30" x14ac:dyDescent="0.4">
      <c r="A145" s="1" t="s">
        <v>35</v>
      </c>
      <c r="B145" s="1">
        <v>2016</v>
      </c>
      <c r="C145" s="1" t="s">
        <v>55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 t="s">
        <v>91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spans="1:30" x14ac:dyDescent="0.4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 t="s">
        <v>32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</row>
    <row r="147" spans="1:30" x14ac:dyDescent="0.4">
      <c r="A147" s="1" t="s">
        <v>33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 t="s">
        <v>92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</row>
    <row r="148" spans="1:30" x14ac:dyDescent="0.4">
      <c r="A148" s="1" t="s">
        <v>35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 t="s">
        <v>92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</row>
    <row r="149" spans="1:30" x14ac:dyDescent="0.4">
      <c r="A149" s="1" t="s">
        <v>30</v>
      </c>
      <c r="B149" s="1">
        <v>2017</v>
      </c>
      <c r="C149" s="1" t="s">
        <v>36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 t="s">
        <v>32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</row>
    <row r="150" spans="1:30" x14ac:dyDescent="0.4">
      <c r="A150" s="1" t="s">
        <v>33</v>
      </c>
      <c r="B150" s="1">
        <v>2017</v>
      </c>
      <c r="C150" s="1" t="s">
        <v>36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 t="s">
        <v>93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</row>
    <row r="151" spans="1:30" x14ac:dyDescent="0.4">
      <c r="A151" s="1" t="s">
        <v>35</v>
      </c>
      <c r="B151" s="1">
        <v>2017</v>
      </c>
      <c r="C151" s="1" t="s">
        <v>36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 t="s">
        <v>93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spans="1:30" x14ac:dyDescent="0.4">
      <c r="A152" s="1" t="s">
        <v>30</v>
      </c>
      <c r="B152" s="1">
        <v>2017</v>
      </c>
      <c r="C152" s="1" t="s">
        <v>38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 t="s">
        <v>32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</row>
    <row r="153" spans="1:30" x14ac:dyDescent="0.4">
      <c r="A153" s="1" t="s">
        <v>33</v>
      </c>
      <c r="B153" s="1">
        <v>2017</v>
      </c>
      <c r="C153" s="1" t="s">
        <v>38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 t="s">
        <v>94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</row>
    <row r="154" spans="1:30" x14ac:dyDescent="0.4">
      <c r="A154" s="1" t="s">
        <v>35</v>
      </c>
      <c r="B154" s="1">
        <v>2017</v>
      </c>
      <c r="C154" s="1" t="s">
        <v>38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 t="s">
        <v>94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</row>
    <row r="155" spans="1:30" x14ac:dyDescent="0.4">
      <c r="A155" s="1" t="s">
        <v>30</v>
      </c>
      <c r="B155" s="1">
        <v>2017</v>
      </c>
      <c r="C155" s="1" t="s">
        <v>39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 t="s">
        <v>32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</row>
    <row r="156" spans="1:30" x14ac:dyDescent="0.4">
      <c r="A156" s="1" t="s">
        <v>33</v>
      </c>
      <c r="B156" s="1">
        <v>2017</v>
      </c>
      <c r="C156" s="1" t="s">
        <v>39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 t="s">
        <v>95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spans="1:30" x14ac:dyDescent="0.4">
      <c r="A157" s="1" t="s">
        <v>35</v>
      </c>
      <c r="B157" s="1">
        <v>2017</v>
      </c>
      <c r="C157" s="1" t="s">
        <v>39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 t="s">
        <v>95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spans="1:30" x14ac:dyDescent="0.4">
      <c r="A158" s="1" t="s">
        <v>30</v>
      </c>
      <c r="B158" s="1">
        <v>2017</v>
      </c>
      <c r="C158" s="1" t="s">
        <v>41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 t="s">
        <v>32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</row>
    <row r="159" spans="1:30" x14ac:dyDescent="0.4">
      <c r="A159" s="1" t="s">
        <v>33</v>
      </c>
      <c r="B159" s="1">
        <v>2017</v>
      </c>
      <c r="C159" s="1" t="s">
        <v>41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 t="s">
        <v>96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</row>
    <row r="160" spans="1:30" x14ac:dyDescent="0.4">
      <c r="A160" s="1" t="s">
        <v>35</v>
      </c>
      <c r="B160" s="1">
        <v>2017</v>
      </c>
      <c r="C160" s="1" t="s">
        <v>41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 t="s">
        <v>96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</row>
    <row r="161" spans="1:30" x14ac:dyDescent="0.4">
      <c r="A161" s="1" t="s">
        <v>30</v>
      </c>
      <c r="B161" s="1">
        <v>2017</v>
      </c>
      <c r="C161" s="1" t="s">
        <v>42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 t="s">
        <v>32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</row>
    <row r="162" spans="1:30" x14ac:dyDescent="0.4">
      <c r="A162" s="1" t="s">
        <v>33</v>
      </c>
      <c r="B162" s="1">
        <v>2017</v>
      </c>
      <c r="C162" s="1" t="s">
        <v>42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 t="s">
        <v>97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</row>
    <row r="163" spans="1:30" x14ac:dyDescent="0.4">
      <c r="A163" s="1" t="s">
        <v>35</v>
      </c>
      <c r="B163" s="1">
        <v>2017</v>
      </c>
      <c r="C163" s="1" t="s">
        <v>42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 t="s">
        <v>97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</row>
    <row r="164" spans="1:30" x14ac:dyDescent="0.4">
      <c r="A164" s="1" t="s">
        <v>30</v>
      </c>
      <c r="B164" s="1">
        <v>2017</v>
      </c>
      <c r="C164" s="1" t="s">
        <v>44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 t="s">
        <v>32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</row>
    <row r="165" spans="1:30" x14ac:dyDescent="0.4">
      <c r="A165" s="1" t="s">
        <v>33</v>
      </c>
      <c r="B165" s="1">
        <v>2017</v>
      </c>
      <c r="C165" s="1" t="s">
        <v>44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 t="s">
        <v>98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</row>
    <row r="166" spans="1:30" x14ac:dyDescent="0.4">
      <c r="A166" s="1" t="s">
        <v>35</v>
      </c>
      <c r="B166" s="1">
        <v>2017</v>
      </c>
      <c r="C166" s="1" t="s">
        <v>44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 t="s">
        <v>98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</row>
    <row r="167" spans="1:30" x14ac:dyDescent="0.4">
      <c r="A167" s="1" t="s">
        <v>30</v>
      </c>
      <c r="B167" s="1">
        <v>2017</v>
      </c>
      <c r="C167" s="1" t="s">
        <v>46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 t="s">
        <v>32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</row>
    <row r="168" spans="1:30" x14ac:dyDescent="0.4">
      <c r="A168" s="1" t="s">
        <v>33</v>
      </c>
      <c r="B168" s="1">
        <v>2017</v>
      </c>
      <c r="C168" s="1" t="s">
        <v>46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 t="s">
        <v>99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</row>
    <row r="169" spans="1:30" x14ac:dyDescent="0.4">
      <c r="A169" s="1" t="s">
        <v>35</v>
      </c>
      <c r="B169" s="1">
        <v>2017</v>
      </c>
      <c r="C169" s="1" t="s">
        <v>46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 t="s">
        <v>99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spans="1:30" x14ac:dyDescent="0.4">
      <c r="A170" s="1" t="s">
        <v>30</v>
      </c>
      <c r="B170" s="1">
        <v>2017</v>
      </c>
      <c r="C170" s="1" t="s">
        <v>48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</row>
    <row r="171" spans="1:30" x14ac:dyDescent="0.4">
      <c r="A171" s="1" t="s">
        <v>33</v>
      </c>
      <c r="B171" s="1">
        <v>2017</v>
      </c>
      <c r="C171" s="1" t="s">
        <v>48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 t="s">
        <v>100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spans="1:30" x14ac:dyDescent="0.4">
      <c r="A172" s="1" t="s">
        <v>35</v>
      </c>
      <c r="B172" s="1">
        <v>2017</v>
      </c>
      <c r="C172" s="1" t="s">
        <v>48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 t="s">
        <v>100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</row>
    <row r="173" spans="1:30" x14ac:dyDescent="0.4">
      <c r="A173" s="1" t="s">
        <v>30</v>
      </c>
      <c r="B173" s="1">
        <v>2017</v>
      </c>
      <c r="C173" s="1" t="s">
        <v>50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 t="s">
        <v>32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</row>
    <row r="174" spans="1:30" x14ac:dyDescent="0.4">
      <c r="A174" s="1" t="s">
        <v>33</v>
      </c>
      <c r="B174" s="1">
        <v>2017</v>
      </c>
      <c r="C174" s="1" t="s">
        <v>50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 t="s">
        <v>101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</row>
    <row r="175" spans="1:30" x14ac:dyDescent="0.4">
      <c r="A175" s="1" t="s">
        <v>35</v>
      </c>
      <c r="B175" s="1">
        <v>2017</v>
      </c>
      <c r="C175" s="1" t="s">
        <v>50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 t="s">
        <v>101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spans="1:30" x14ac:dyDescent="0.4">
      <c r="A176" s="1" t="s">
        <v>30</v>
      </c>
      <c r="B176" s="1">
        <v>2017</v>
      </c>
      <c r="C176" s="1" t="s">
        <v>53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 t="s">
        <v>32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</row>
    <row r="177" spans="1:30" x14ac:dyDescent="0.4">
      <c r="A177" s="1" t="s">
        <v>33</v>
      </c>
      <c r="B177" s="1">
        <v>2017</v>
      </c>
      <c r="C177" s="1" t="s">
        <v>53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 t="s">
        <v>102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</row>
    <row r="178" spans="1:30" x14ac:dyDescent="0.4">
      <c r="A178" s="1" t="s">
        <v>35</v>
      </c>
      <c r="B178" s="1">
        <v>2017</v>
      </c>
      <c r="C178" s="1" t="s">
        <v>53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 t="s">
        <v>102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spans="1:30" x14ac:dyDescent="0.4">
      <c r="A179" s="1" t="s">
        <v>30</v>
      </c>
      <c r="B179" s="1">
        <v>2017</v>
      </c>
      <c r="C179" s="1" t="s">
        <v>55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</row>
    <row r="180" spans="1:30" x14ac:dyDescent="0.4">
      <c r="A180" s="1" t="s">
        <v>33</v>
      </c>
      <c r="B180" s="1">
        <v>2017</v>
      </c>
      <c r="C180" s="1" t="s">
        <v>55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 t="s">
        <v>103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</row>
    <row r="181" spans="1:30" x14ac:dyDescent="0.4">
      <c r="A181" s="1" t="s">
        <v>35</v>
      </c>
      <c r="B181" s="1">
        <v>2017</v>
      </c>
      <c r="C181" s="1" t="s">
        <v>55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 t="s">
        <v>103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</row>
    <row r="182" spans="1:30" x14ac:dyDescent="0.4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 t="s">
        <v>32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</row>
    <row r="183" spans="1:30" x14ac:dyDescent="0.4">
      <c r="A183" s="1" t="s">
        <v>33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 t="s">
        <v>104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spans="1:30" x14ac:dyDescent="0.4">
      <c r="A184" s="1" t="s">
        <v>35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 t="s">
        <v>104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</row>
    <row r="185" spans="1:30" x14ac:dyDescent="0.4">
      <c r="A185" s="1" t="s">
        <v>30</v>
      </c>
      <c r="B185" s="1">
        <v>2018</v>
      </c>
      <c r="C185" s="1" t="s">
        <v>36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 t="s">
        <v>32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</row>
    <row r="186" spans="1:30" x14ac:dyDescent="0.4">
      <c r="A186" s="1" t="s">
        <v>33</v>
      </c>
      <c r="B186" s="1">
        <v>2018</v>
      </c>
      <c r="C186" s="1" t="s">
        <v>36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 t="s">
        <v>105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</row>
    <row r="187" spans="1:30" x14ac:dyDescent="0.4">
      <c r="A187" s="1" t="s">
        <v>35</v>
      </c>
      <c r="B187" s="1">
        <v>2018</v>
      </c>
      <c r="C187" s="1" t="s">
        <v>36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 t="s">
        <v>105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</row>
    <row r="188" spans="1:30" x14ac:dyDescent="0.4">
      <c r="A188" s="1" t="s">
        <v>30</v>
      </c>
      <c r="B188" s="1">
        <v>2018</v>
      </c>
      <c r="C188" s="1" t="s">
        <v>38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 t="s">
        <v>32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</row>
    <row r="189" spans="1:30" x14ac:dyDescent="0.4">
      <c r="A189" s="1" t="s">
        <v>33</v>
      </c>
      <c r="B189" s="1">
        <v>2018</v>
      </c>
      <c r="C189" s="1" t="s">
        <v>38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 t="s">
        <v>106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</row>
    <row r="190" spans="1:30" x14ac:dyDescent="0.4">
      <c r="A190" s="1" t="s">
        <v>35</v>
      </c>
      <c r="B190" s="1">
        <v>2018</v>
      </c>
      <c r="C190" s="1" t="s">
        <v>38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 t="s">
        <v>106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</row>
    <row r="191" spans="1:30" x14ac:dyDescent="0.4">
      <c r="A191" s="1" t="s">
        <v>30</v>
      </c>
      <c r="B191" s="1">
        <v>2018</v>
      </c>
      <c r="C191" s="1" t="s">
        <v>39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 t="s">
        <v>32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</row>
    <row r="192" spans="1:30" x14ac:dyDescent="0.4">
      <c r="A192" s="1" t="s">
        <v>33</v>
      </c>
      <c r="B192" s="1">
        <v>2018</v>
      </c>
      <c r="C192" s="1" t="s">
        <v>39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 t="s">
        <v>107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</row>
    <row r="193" spans="1:30" x14ac:dyDescent="0.4">
      <c r="A193" s="1" t="s">
        <v>35</v>
      </c>
      <c r="B193" s="1">
        <v>2018</v>
      </c>
      <c r="C193" s="1" t="s">
        <v>39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 t="s">
        <v>107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</row>
    <row r="194" spans="1:30" x14ac:dyDescent="0.4">
      <c r="A194" s="1" t="s">
        <v>30</v>
      </c>
      <c r="B194" s="1">
        <v>2018</v>
      </c>
      <c r="C194" s="1" t="s">
        <v>41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 t="s">
        <v>32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</row>
    <row r="195" spans="1:30" x14ac:dyDescent="0.4">
      <c r="A195" s="1" t="s">
        <v>33</v>
      </c>
      <c r="B195" s="1">
        <v>2018</v>
      </c>
      <c r="C195" s="1" t="s">
        <v>41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 t="s">
        <v>108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</row>
    <row r="196" spans="1:30" x14ac:dyDescent="0.4">
      <c r="A196" s="1" t="s">
        <v>35</v>
      </c>
      <c r="B196" s="1">
        <v>2018</v>
      </c>
      <c r="C196" s="1" t="s">
        <v>41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 t="s">
        <v>108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</row>
    <row r="197" spans="1:30" x14ac:dyDescent="0.4">
      <c r="A197" s="1" t="s">
        <v>30</v>
      </c>
      <c r="B197" s="1">
        <v>2018</v>
      </c>
      <c r="C197" s="1" t="s">
        <v>42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 t="s">
        <v>32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</row>
    <row r="198" spans="1:30" x14ac:dyDescent="0.4">
      <c r="A198" s="1" t="s">
        <v>33</v>
      </c>
      <c r="B198" s="1">
        <v>2018</v>
      </c>
      <c r="C198" s="1" t="s">
        <v>42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 t="s">
        <v>109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</row>
    <row r="199" spans="1:30" x14ac:dyDescent="0.4">
      <c r="A199" s="1" t="s">
        <v>35</v>
      </c>
      <c r="B199" s="1">
        <v>2018</v>
      </c>
      <c r="C199" s="1" t="s">
        <v>42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 t="s">
        <v>109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</row>
    <row r="200" spans="1:30" x14ac:dyDescent="0.4">
      <c r="A200" s="1" t="s">
        <v>30</v>
      </c>
      <c r="B200" s="1">
        <v>2018</v>
      </c>
      <c r="C200" s="1" t="s">
        <v>44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</row>
    <row r="201" spans="1:30" x14ac:dyDescent="0.4">
      <c r="A201" s="1" t="s">
        <v>33</v>
      </c>
      <c r="B201" s="1">
        <v>2018</v>
      </c>
      <c r="C201" s="1" t="s">
        <v>44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 t="s">
        <v>110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</row>
    <row r="202" spans="1:30" x14ac:dyDescent="0.4">
      <c r="A202" s="1" t="s">
        <v>35</v>
      </c>
      <c r="B202" s="1">
        <v>2018</v>
      </c>
      <c r="C202" s="1" t="s">
        <v>44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 t="s">
        <v>110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</row>
    <row r="203" spans="1:30" x14ac:dyDescent="0.4">
      <c r="A203" s="1" t="s">
        <v>30</v>
      </c>
      <c r="B203" s="1">
        <v>2018</v>
      </c>
      <c r="C203" s="1" t="s">
        <v>46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 t="s">
        <v>32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</row>
    <row r="204" spans="1:30" x14ac:dyDescent="0.4">
      <c r="A204" s="1" t="s">
        <v>33</v>
      </c>
      <c r="B204" s="1">
        <v>2018</v>
      </c>
      <c r="C204" s="1" t="s">
        <v>46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 t="s">
        <v>111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</row>
    <row r="205" spans="1:30" x14ac:dyDescent="0.4">
      <c r="A205" s="1" t="s">
        <v>35</v>
      </c>
      <c r="B205" s="1">
        <v>2018</v>
      </c>
      <c r="C205" s="1" t="s">
        <v>46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 t="s">
        <v>111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</row>
    <row r="206" spans="1:30" x14ac:dyDescent="0.4">
      <c r="A206" s="1" t="s">
        <v>30</v>
      </c>
      <c r="B206" s="1">
        <v>2018</v>
      </c>
      <c r="C206" s="1" t="s">
        <v>48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 t="s">
        <v>32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</row>
    <row r="207" spans="1:30" x14ac:dyDescent="0.4">
      <c r="A207" s="1" t="s">
        <v>33</v>
      </c>
      <c r="B207" s="1">
        <v>2018</v>
      </c>
      <c r="C207" s="1" t="s">
        <v>48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 t="s">
        <v>112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</row>
    <row r="208" spans="1:30" x14ac:dyDescent="0.4">
      <c r="A208" s="1" t="s">
        <v>35</v>
      </c>
      <c r="B208" s="1">
        <v>2018</v>
      </c>
      <c r="C208" s="1" t="s">
        <v>48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 t="s">
        <v>112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</row>
    <row r="209" spans="1:30" x14ac:dyDescent="0.4">
      <c r="A209" s="1" t="s">
        <v>30</v>
      </c>
      <c r="B209" s="1">
        <v>2018</v>
      </c>
      <c r="C209" s="1" t="s">
        <v>50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 t="s">
        <v>32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</row>
    <row r="210" spans="1:30" x14ac:dyDescent="0.4">
      <c r="A210" s="1" t="s">
        <v>33</v>
      </c>
      <c r="B210" s="1">
        <v>2018</v>
      </c>
      <c r="C210" s="1" t="s">
        <v>50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 t="s">
        <v>113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</row>
    <row r="211" spans="1:30" x14ac:dyDescent="0.4">
      <c r="A211" s="1" t="s">
        <v>35</v>
      </c>
      <c r="B211" s="1">
        <v>2018</v>
      </c>
      <c r="C211" s="1" t="s">
        <v>50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 t="s">
        <v>114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</row>
    <row r="212" spans="1:30" x14ac:dyDescent="0.4">
      <c r="A212" s="1" t="s">
        <v>30</v>
      </c>
      <c r="B212" s="1">
        <v>2018</v>
      </c>
      <c r="C212" s="1" t="s">
        <v>53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 t="s">
        <v>32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</row>
    <row r="213" spans="1:30" x14ac:dyDescent="0.4">
      <c r="A213" s="1" t="s">
        <v>33</v>
      </c>
      <c r="B213" s="1">
        <v>2018</v>
      </c>
      <c r="C213" s="1" t="s">
        <v>53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 t="s">
        <v>114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</row>
    <row r="214" spans="1:30" x14ac:dyDescent="0.4">
      <c r="A214" s="1" t="s">
        <v>35</v>
      </c>
      <c r="B214" s="1">
        <v>2018</v>
      </c>
      <c r="C214" s="1" t="s">
        <v>53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 t="s">
        <v>114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</row>
    <row r="215" spans="1:30" x14ac:dyDescent="0.4">
      <c r="A215" s="1" t="s">
        <v>30</v>
      </c>
      <c r="B215" s="1">
        <v>2018</v>
      </c>
      <c r="C215" s="1" t="s">
        <v>55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 t="s">
        <v>32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</row>
    <row r="216" spans="1:30" x14ac:dyDescent="0.4">
      <c r="A216" s="1" t="s">
        <v>33</v>
      </c>
      <c r="B216" s="1">
        <v>2018</v>
      </c>
      <c r="C216" s="1" t="s">
        <v>55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 t="s">
        <v>115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</row>
    <row r="217" spans="1:30" x14ac:dyDescent="0.4">
      <c r="A217" s="1" t="s">
        <v>35</v>
      </c>
      <c r="B217" s="1">
        <v>2018</v>
      </c>
      <c r="C217" s="1" t="s">
        <v>55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 t="s">
        <v>115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</row>
    <row r="218" spans="1:30" x14ac:dyDescent="0.4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</row>
    <row r="219" spans="1:30" x14ac:dyDescent="0.4">
      <c r="A219" s="1" t="s">
        <v>33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 t="s">
        <v>116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</row>
    <row r="220" spans="1:30" x14ac:dyDescent="0.4">
      <c r="A220" s="1" t="s">
        <v>35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 t="s">
        <v>116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</row>
    <row r="221" spans="1:30" x14ac:dyDescent="0.4">
      <c r="A221" s="1" t="s">
        <v>30</v>
      </c>
      <c r="B221" s="1">
        <v>2019</v>
      </c>
      <c r="C221" s="1" t="s">
        <v>36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</row>
    <row r="222" spans="1:30" x14ac:dyDescent="0.4">
      <c r="A222" s="1" t="s">
        <v>33</v>
      </c>
      <c r="B222" s="1">
        <v>2019</v>
      </c>
      <c r="C222" s="1" t="s">
        <v>36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 t="s">
        <v>117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</row>
    <row r="223" spans="1:30" x14ac:dyDescent="0.4">
      <c r="A223" s="1" t="s">
        <v>35</v>
      </c>
      <c r="B223" s="1">
        <v>2019</v>
      </c>
      <c r="C223" s="1" t="s">
        <v>36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 t="s">
        <v>117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</row>
    <row r="224" spans="1:30" x14ac:dyDescent="0.4">
      <c r="A224" s="1" t="s">
        <v>30</v>
      </c>
      <c r="B224" s="1">
        <v>2019</v>
      </c>
      <c r="C224" s="1" t="s">
        <v>38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</row>
    <row r="225" spans="1:30" x14ac:dyDescent="0.4">
      <c r="A225" s="1" t="s">
        <v>33</v>
      </c>
      <c r="B225" s="1">
        <v>2019</v>
      </c>
      <c r="C225" s="1" t="s">
        <v>38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 t="s">
        <v>118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</row>
    <row r="226" spans="1:30" x14ac:dyDescent="0.4">
      <c r="A226" s="1" t="s">
        <v>35</v>
      </c>
      <c r="B226" s="1">
        <v>2019</v>
      </c>
      <c r="C226" s="1" t="s">
        <v>38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 t="s">
        <v>118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</row>
    <row r="227" spans="1:30" x14ac:dyDescent="0.4">
      <c r="A227" s="1" t="s">
        <v>30</v>
      </c>
      <c r="B227" s="1">
        <v>2019</v>
      </c>
      <c r="C227" s="1" t="s">
        <v>41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 t="s">
        <v>32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</row>
    <row r="228" spans="1:30" x14ac:dyDescent="0.4">
      <c r="A228" s="1" t="s">
        <v>33</v>
      </c>
      <c r="B228" s="1">
        <v>2019</v>
      </c>
      <c r="C228" s="1" t="s">
        <v>41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 t="s">
        <v>119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</row>
    <row r="229" spans="1:30" x14ac:dyDescent="0.4">
      <c r="A229" s="1" t="s">
        <v>35</v>
      </c>
      <c r="B229" s="1">
        <v>2019</v>
      </c>
      <c r="C229" s="1" t="s">
        <v>41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 t="s">
        <v>119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</row>
    <row r="230" spans="1:30" x14ac:dyDescent="0.4">
      <c r="A230" s="1" t="s">
        <v>30</v>
      </c>
      <c r="B230" s="1">
        <v>2019</v>
      </c>
      <c r="C230" s="1" t="s">
        <v>42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 t="s">
        <v>32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</row>
    <row r="231" spans="1:30" x14ac:dyDescent="0.4">
      <c r="A231" s="1" t="s">
        <v>33</v>
      </c>
      <c r="B231" s="1">
        <v>2019</v>
      </c>
      <c r="C231" s="1" t="s">
        <v>42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 t="s">
        <v>120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</row>
    <row r="232" spans="1:30" x14ac:dyDescent="0.4">
      <c r="A232" s="1" t="s">
        <v>35</v>
      </c>
      <c r="B232" s="1">
        <v>2019</v>
      </c>
      <c r="C232" s="1" t="s">
        <v>42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 t="s">
        <v>120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</row>
    <row r="233" spans="1:30" x14ac:dyDescent="0.4">
      <c r="A233" s="1" t="s">
        <v>30</v>
      </c>
      <c r="B233" s="1">
        <v>2019</v>
      </c>
      <c r="C233" s="1" t="s">
        <v>44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</row>
    <row r="234" spans="1:30" x14ac:dyDescent="0.4">
      <c r="A234" s="1" t="s">
        <v>33</v>
      </c>
      <c r="B234" s="1">
        <v>2019</v>
      </c>
      <c r="C234" s="1" t="s">
        <v>44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 t="s">
        <v>121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</row>
    <row r="235" spans="1:30" x14ac:dyDescent="0.4">
      <c r="A235" s="1" t="s">
        <v>35</v>
      </c>
      <c r="B235" s="1">
        <v>2019</v>
      </c>
      <c r="C235" s="1" t="s">
        <v>44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 t="s">
        <v>121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</row>
    <row r="236" spans="1:30" x14ac:dyDescent="0.4">
      <c r="A236" s="1" t="s">
        <v>30</v>
      </c>
      <c r="B236" s="1">
        <v>2019</v>
      </c>
      <c r="C236" s="1" t="s">
        <v>46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</row>
    <row r="237" spans="1:30" x14ac:dyDescent="0.4">
      <c r="A237" s="1" t="s">
        <v>33</v>
      </c>
      <c r="B237" s="1">
        <v>2019</v>
      </c>
      <c r="C237" s="1" t="s">
        <v>46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 t="s">
        <v>122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</row>
    <row r="238" spans="1:30" x14ac:dyDescent="0.4">
      <c r="A238" s="1" t="s">
        <v>35</v>
      </c>
      <c r="B238" s="1">
        <v>2019</v>
      </c>
      <c r="C238" s="1" t="s">
        <v>46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 t="s">
        <v>122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</row>
    <row r="239" spans="1:30" x14ac:dyDescent="0.4">
      <c r="A239" s="1" t="s">
        <v>30</v>
      </c>
      <c r="B239" s="1">
        <v>2019</v>
      </c>
      <c r="C239" s="1" t="s">
        <v>48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 t="s">
        <v>32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</row>
    <row r="240" spans="1:30" x14ac:dyDescent="0.4">
      <c r="A240" s="1" t="s">
        <v>33</v>
      </c>
      <c r="B240" s="1">
        <v>2019</v>
      </c>
      <c r="C240" s="1" t="s">
        <v>48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 t="s">
        <v>123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</row>
    <row r="241" spans="1:30" x14ac:dyDescent="0.4">
      <c r="A241" s="1" t="s">
        <v>35</v>
      </c>
      <c r="B241" s="1">
        <v>2019</v>
      </c>
      <c r="C241" s="1" t="s">
        <v>48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 t="s">
        <v>123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</row>
    <row r="242" spans="1:30" x14ac:dyDescent="0.4">
      <c r="A242" s="1" t="s">
        <v>30</v>
      </c>
      <c r="B242" s="1">
        <v>2019</v>
      </c>
      <c r="C242" s="1" t="s">
        <v>50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 t="s">
        <v>32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</row>
    <row r="243" spans="1:30" x14ac:dyDescent="0.4">
      <c r="A243" s="1" t="s">
        <v>33</v>
      </c>
      <c r="B243" s="1">
        <v>2019</v>
      </c>
      <c r="C243" s="1" t="s">
        <v>50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 t="s">
        <v>124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</row>
    <row r="244" spans="1:30" x14ac:dyDescent="0.4">
      <c r="A244" s="1" t="s">
        <v>35</v>
      </c>
      <c r="B244" s="1">
        <v>2019</v>
      </c>
      <c r="C244" s="1" t="s">
        <v>50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 t="s">
        <v>124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</row>
    <row r="245" spans="1:30" x14ac:dyDescent="0.4">
      <c r="A245" s="1" t="s">
        <v>30</v>
      </c>
      <c r="B245" s="1">
        <v>2019</v>
      </c>
      <c r="C245" s="1" t="s">
        <v>53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</row>
    <row r="246" spans="1:30" x14ac:dyDescent="0.4">
      <c r="A246" s="1" t="s">
        <v>33</v>
      </c>
      <c r="B246" s="1">
        <v>2019</v>
      </c>
      <c r="C246" s="1" t="s">
        <v>53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 t="s">
        <v>125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</row>
    <row r="247" spans="1:30" x14ac:dyDescent="0.4">
      <c r="A247" s="1" t="s">
        <v>35</v>
      </c>
      <c r="B247" s="1">
        <v>2019</v>
      </c>
      <c r="C247" s="1" t="s">
        <v>53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 t="s">
        <v>125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</row>
    <row r="248" spans="1:30" x14ac:dyDescent="0.4">
      <c r="A248" s="1" t="s">
        <v>30</v>
      </c>
      <c r="B248" s="1">
        <v>2019</v>
      </c>
      <c r="C248" s="1" t="s">
        <v>55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 t="s">
        <v>32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</row>
    <row r="249" spans="1:30" x14ac:dyDescent="0.4">
      <c r="A249" s="1" t="s">
        <v>33</v>
      </c>
      <c r="B249" s="1">
        <v>2019</v>
      </c>
      <c r="C249" s="1" t="s">
        <v>55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 t="s">
        <v>126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</row>
    <row r="250" spans="1:30" x14ac:dyDescent="0.4">
      <c r="A250" s="1" t="s">
        <v>35</v>
      </c>
      <c r="B250" s="1">
        <v>2019</v>
      </c>
      <c r="C250" s="1" t="s">
        <v>55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 t="s">
        <v>126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</row>
    <row r="251" spans="1:30" x14ac:dyDescent="0.4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</row>
    <row r="252" spans="1:30" x14ac:dyDescent="0.4">
      <c r="A252" s="1" t="s">
        <v>33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 t="s">
        <v>127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</row>
    <row r="253" spans="1:30" x14ac:dyDescent="0.4">
      <c r="A253" s="1" t="s">
        <v>35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 t="s">
        <v>127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</row>
    <row r="254" spans="1:30" x14ac:dyDescent="0.4">
      <c r="A254" s="1" t="s">
        <v>30</v>
      </c>
      <c r="B254" s="1">
        <v>2020</v>
      </c>
      <c r="C254" s="1" t="s">
        <v>36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 t="s">
        <v>32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spans="1:30" x14ac:dyDescent="0.4">
      <c r="A255" s="1" t="s">
        <v>33</v>
      </c>
      <c r="B255" s="1">
        <v>2020</v>
      </c>
      <c r="C255" s="1" t="s">
        <v>36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 t="s">
        <v>128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</row>
    <row r="256" spans="1:30" x14ac:dyDescent="0.4">
      <c r="A256" s="1" t="s">
        <v>35</v>
      </c>
      <c r="B256" s="1">
        <v>2020</v>
      </c>
      <c r="C256" s="1" t="s">
        <v>36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 t="s">
        <v>128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</row>
    <row r="257" spans="1:30" x14ac:dyDescent="0.4">
      <c r="A257" s="1" t="s">
        <v>30</v>
      </c>
      <c r="B257" s="1">
        <v>2020</v>
      </c>
      <c r="C257" s="1" t="s">
        <v>38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</row>
    <row r="258" spans="1:30" x14ac:dyDescent="0.4">
      <c r="A258" s="1" t="s">
        <v>33</v>
      </c>
      <c r="B258" s="1">
        <v>2020</v>
      </c>
      <c r="C258" s="1" t="s">
        <v>38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 t="s">
        <v>129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</row>
    <row r="259" spans="1:30" x14ac:dyDescent="0.4">
      <c r="A259" s="1" t="s">
        <v>35</v>
      </c>
      <c r="B259" s="1">
        <v>2020</v>
      </c>
      <c r="C259" s="1" t="s">
        <v>38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 t="s">
        <v>129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</row>
    <row r="260" spans="1:30" x14ac:dyDescent="0.4">
      <c r="A260" s="1" t="s">
        <v>30</v>
      </c>
      <c r="B260" s="1">
        <v>2020</v>
      </c>
      <c r="C260" s="1" t="s">
        <v>39</v>
      </c>
      <c r="D260" s="1">
        <v>147.19999999999999</v>
      </c>
      <c r="E260" s="1"/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/>
      <c r="P260" s="1">
        <v>150.1</v>
      </c>
      <c r="Q260" s="1"/>
      <c r="R260" s="1"/>
      <c r="S260" s="1"/>
      <c r="T260" s="1"/>
      <c r="U260" s="1" t="s">
        <v>32</v>
      </c>
      <c r="V260" s="1">
        <v>148.4</v>
      </c>
      <c r="W260" s="1"/>
      <c r="X260" s="1">
        <v>154.30000000000001</v>
      </c>
      <c r="Y260" s="1"/>
      <c r="Z260" s="1"/>
      <c r="AA260" s="1"/>
      <c r="AB260" s="1"/>
      <c r="AC260" s="1"/>
      <c r="AD260" s="1"/>
    </row>
    <row r="261" spans="1:30" x14ac:dyDescent="0.4">
      <c r="A261" s="1" t="s">
        <v>33</v>
      </c>
      <c r="B261" s="1">
        <v>2020</v>
      </c>
      <c r="C261" s="1" t="s">
        <v>39</v>
      </c>
      <c r="D261" s="1">
        <v>151.80000000000001</v>
      </c>
      <c r="E261" s="1"/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/>
      <c r="P261" s="1">
        <v>153.5</v>
      </c>
      <c r="Q261" s="1"/>
      <c r="R261" s="1"/>
      <c r="S261" s="1"/>
      <c r="T261" s="1"/>
      <c r="U261" s="1" t="s">
        <v>130</v>
      </c>
      <c r="V261" s="1">
        <v>137.1</v>
      </c>
      <c r="W261" s="1"/>
      <c r="X261" s="1">
        <v>144.80000000000001</v>
      </c>
      <c r="Y261" s="1"/>
      <c r="Z261" s="1"/>
      <c r="AA261" s="1"/>
      <c r="AB261" s="1"/>
      <c r="AC261" s="1"/>
      <c r="AD261" s="1"/>
    </row>
    <row r="262" spans="1:30" x14ac:dyDescent="0.4">
      <c r="A262" s="1" t="s">
        <v>35</v>
      </c>
      <c r="B262" s="1">
        <v>2020</v>
      </c>
      <c r="C262" s="1" t="s">
        <v>39</v>
      </c>
      <c r="D262" s="1">
        <v>148.69999999999999</v>
      </c>
      <c r="E262" s="1"/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/>
      <c r="P262" s="1">
        <v>151.4</v>
      </c>
      <c r="Q262" s="1"/>
      <c r="R262" s="1"/>
      <c r="S262" s="1"/>
      <c r="T262" s="1"/>
      <c r="U262" s="1" t="s">
        <v>130</v>
      </c>
      <c r="V262" s="1">
        <v>144.1</v>
      </c>
      <c r="W262" s="1"/>
      <c r="X262" s="1">
        <v>150.69999999999999</v>
      </c>
      <c r="Y262" s="1"/>
      <c r="Z262" s="1"/>
      <c r="AA262" s="1"/>
      <c r="AB262" s="1"/>
      <c r="AC262" s="1"/>
      <c r="AD262" s="1"/>
    </row>
    <row r="263" spans="1:30" x14ac:dyDescent="0.4">
      <c r="A263" s="1" t="s">
        <v>30</v>
      </c>
      <c r="B263" s="1">
        <v>2020</v>
      </c>
      <c r="C263" s="1" t="s">
        <v>41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 t="s">
        <v>32</v>
      </c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4">
      <c r="A264" s="1" t="s">
        <v>33</v>
      </c>
      <c r="B264" s="1">
        <v>2020</v>
      </c>
      <c r="C264" s="1" t="s">
        <v>41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 t="s">
        <v>32</v>
      </c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x14ac:dyDescent="0.4">
      <c r="A265" s="1" t="s">
        <v>35</v>
      </c>
      <c r="B265" s="1">
        <v>2020</v>
      </c>
      <c r="C265" s="1" t="s">
        <v>41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 t="s">
        <v>32</v>
      </c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x14ac:dyDescent="0.4">
      <c r="A266" s="1" t="s">
        <v>30</v>
      </c>
      <c r="B266" s="1">
        <v>2020</v>
      </c>
      <c r="C266" s="1" t="s">
        <v>42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 t="s">
        <v>32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</row>
    <row r="267" spans="1:30" x14ac:dyDescent="0.4">
      <c r="A267" s="1" t="s">
        <v>33</v>
      </c>
      <c r="B267" s="1">
        <v>2020</v>
      </c>
      <c r="C267" s="1" t="s">
        <v>42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 t="s">
        <v>131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</row>
    <row r="268" spans="1:30" x14ac:dyDescent="0.4">
      <c r="A268" s="1" t="s">
        <v>35</v>
      </c>
      <c r="B268" s="1">
        <v>2020</v>
      </c>
      <c r="C268" s="1" t="s">
        <v>42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 t="s">
        <v>131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</row>
    <row r="269" spans="1:30" x14ac:dyDescent="0.4">
      <c r="A269" s="1" t="s">
        <v>30</v>
      </c>
      <c r="B269" s="1">
        <v>2020</v>
      </c>
      <c r="C269" s="1" t="s">
        <v>44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 t="s">
        <v>32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</row>
    <row r="270" spans="1:30" x14ac:dyDescent="0.4">
      <c r="A270" s="1" t="s">
        <v>33</v>
      </c>
      <c r="B270" s="1">
        <v>2020</v>
      </c>
      <c r="C270" s="1" t="s">
        <v>44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 t="s">
        <v>131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</row>
    <row r="271" spans="1:30" x14ac:dyDescent="0.4">
      <c r="A271" s="1" t="s">
        <v>35</v>
      </c>
      <c r="B271" s="1">
        <v>2020</v>
      </c>
      <c r="C271" s="1" t="s">
        <v>44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 t="s">
        <v>131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</row>
    <row r="272" spans="1:30" x14ac:dyDescent="0.4">
      <c r="A272" s="1" t="s">
        <v>30</v>
      </c>
      <c r="B272" s="1">
        <v>2020</v>
      </c>
      <c r="C272" s="1" t="s">
        <v>46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 t="s">
        <v>32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</row>
    <row r="273" spans="1:30" x14ac:dyDescent="0.4">
      <c r="A273" s="1" t="s">
        <v>33</v>
      </c>
      <c r="B273" s="1">
        <v>2020</v>
      </c>
      <c r="C273" s="1" t="s">
        <v>46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 t="s">
        <v>132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</row>
    <row r="274" spans="1:30" x14ac:dyDescent="0.4">
      <c r="A274" s="1" t="s">
        <v>35</v>
      </c>
      <c r="B274" s="1">
        <v>2020</v>
      </c>
      <c r="C274" s="1" t="s">
        <v>46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 t="s">
        <v>132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</row>
    <row r="275" spans="1:30" x14ac:dyDescent="0.4">
      <c r="A275" s="1" t="s">
        <v>30</v>
      </c>
      <c r="B275" s="1">
        <v>2020</v>
      </c>
      <c r="C275" s="1" t="s">
        <v>48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</row>
    <row r="276" spans="1:30" x14ac:dyDescent="0.4">
      <c r="A276" s="1" t="s">
        <v>33</v>
      </c>
      <c r="B276" s="1">
        <v>2020</v>
      </c>
      <c r="C276" s="1" t="s">
        <v>48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 t="s">
        <v>133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</row>
    <row r="277" spans="1:30" x14ac:dyDescent="0.4">
      <c r="A277" s="1" t="s">
        <v>35</v>
      </c>
      <c r="B277" s="1">
        <v>2020</v>
      </c>
      <c r="C277" s="1" t="s">
        <v>48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 t="s">
        <v>133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</row>
    <row r="278" spans="1:30" x14ac:dyDescent="0.4">
      <c r="A278" s="1" t="s">
        <v>30</v>
      </c>
      <c r="B278" s="1">
        <v>2020</v>
      </c>
      <c r="C278" s="1" t="s">
        <v>50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 t="s">
        <v>32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</row>
    <row r="279" spans="1:30" x14ac:dyDescent="0.4">
      <c r="A279" s="1" t="s">
        <v>33</v>
      </c>
      <c r="B279" s="1">
        <v>2020</v>
      </c>
      <c r="C279" s="1" t="s">
        <v>50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 t="s">
        <v>134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</row>
    <row r="280" spans="1:30" x14ac:dyDescent="0.4">
      <c r="A280" s="1" t="s">
        <v>35</v>
      </c>
      <c r="B280" s="1">
        <v>2020</v>
      </c>
      <c r="C280" s="1" t="s">
        <v>50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 t="s">
        <v>134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</row>
    <row r="281" spans="1:30" x14ac:dyDescent="0.4">
      <c r="A281" s="1" t="s">
        <v>30</v>
      </c>
      <c r="B281" s="1">
        <v>2020</v>
      </c>
      <c r="C281" s="1" t="s">
        <v>53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 t="s">
        <v>32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</row>
    <row r="282" spans="1:30" x14ac:dyDescent="0.4">
      <c r="A282" s="1" t="s">
        <v>33</v>
      </c>
      <c r="B282" s="1">
        <v>2020</v>
      </c>
      <c r="C282" s="1" t="s">
        <v>53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 t="s">
        <v>135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</row>
    <row r="283" spans="1:30" x14ac:dyDescent="0.4">
      <c r="A283" s="1" t="s">
        <v>35</v>
      </c>
      <c r="B283" s="1">
        <v>2020</v>
      </c>
      <c r="C283" s="1" t="s">
        <v>53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 t="s">
        <v>135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</row>
    <row r="284" spans="1:30" x14ac:dyDescent="0.4">
      <c r="A284" s="1" t="s">
        <v>30</v>
      </c>
      <c r="B284" s="1">
        <v>2020</v>
      </c>
      <c r="C284" s="1" t="s">
        <v>55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 t="s">
        <v>32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</row>
    <row r="285" spans="1:30" x14ac:dyDescent="0.4">
      <c r="A285" s="1" t="s">
        <v>33</v>
      </c>
      <c r="B285" s="1">
        <v>2020</v>
      </c>
      <c r="C285" s="1" t="s">
        <v>55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 t="s">
        <v>136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</row>
    <row r="286" spans="1:30" x14ac:dyDescent="0.4">
      <c r="A286" s="1" t="s">
        <v>35</v>
      </c>
      <c r="B286" s="1">
        <v>2020</v>
      </c>
      <c r="C286" s="1" t="s">
        <v>55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 t="s">
        <v>136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</row>
    <row r="287" spans="1:30" x14ac:dyDescent="0.4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</row>
    <row r="288" spans="1:30" x14ac:dyDescent="0.4">
      <c r="A288" s="1" t="s">
        <v>33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 t="s">
        <v>137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</row>
    <row r="289" spans="1:30" x14ac:dyDescent="0.4">
      <c r="A289" s="1" t="s">
        <v>35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 t="s">
        <v>137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</row>
    <row r="290" spans="1:30" x14ac:dyDescent="0.4">
      <c r="A290" s="1" t="s">
        <v>30</v>
      </c>
      <c r="B290" s="1">
        <v>2021</v>
      </c>
      <c r="C290" s="1" t="s">
        <v>36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</row>
    <row r="291" spans="1:30" x14ac:dyDescent="0.4">
      <c r="A291" s="1" t="s">
        <v>33</v>
      </c>
      <c r="B291" s="1">
        <v>2021</v>
      </c>
      <c r="C291" s="1" t="s">
        <v>36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 t="s">
        <v>138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</row>
    <row r="292" spans="1:30" x14ac:dyDescent="0.4">
      <c r="A292" s="1" t="s">
        <v>35</v>
      </c>
      <c r="B292" s="1">
        <v>2021</v>
      </c>
      <c r="C292" s="1" t="s">
        <v>36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 t="s">
        <v>138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</row>
    <row r="293" spans="1:30" x14ac:dyDescent="0.4">
      <c r="A293" s="1" t="s">
        <v>30</v>
      </c>
      <c r="B293" s="1">
        <v>2021</v>
      </c>
      <c r="C293" s="1" t="s">
        <v>38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139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</row>
    <row r="294" spans="1:30" x14ac:dyDescent="0.4">
      <c r="A294" s="1" t="s">
        <v>33</v>
      </c>
      <c r="B294" s="1">
        <v>2021</v>
      </c>
      <c r="C294" s="1" t="s">
        <v>38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 t="s">
        <v>140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</row>
    <row r="295" spans="1:30" x14ac:dyDescent="0.4">
      <c r="A295" s="1" t="s">
        <v>35</v>
      </c>
      <c r="B295" s="1">
        <v>2021</v>
      </c>
      <c r="C295" s="1" t="s">
        <v>38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 t="s">
        <v>140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</row>
    <row r="296" spans="1:30" x14ac:dyDescent="0.4">
      <c r="A296" s="1" t="s">
        <v>30</v>
      </c>
      <c r="B296" s="1">
        <v>2021</v>
      </c>
      <c r="C296" s="1" t="s">
        <v>39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 t="s">
        <v>139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</row>
    <row r="297" spans="1:30" x14ac:dyDescent="0.4">
      <c r="A297" s="1" t="s">
        <v>33</v>
      </c>
      <c r="B297" s="1">
        <v>2021</v>
      </c>
      <c r="C297" s="1" t="s">
        <v>39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 t="s">
        <v>141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</row>
    <row r="298" spans="1:30" x14ac:dyDescent="0.4">
      <c r="A298" s="1" t="s">
        <v>35</v>
      </c>
      <c r="B298" s="1">
        <v>2021</v>
      </c>
      <c r="C298" s="1" t="s">
        <v>39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 t="s">
        <v>141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</row>
    <row r="299" spans="1:30" x14ac:dyDescent="0.4">
      <c r="A299" s="1" t="s">
        <v>30</v>
      </c>
      <c r="B299" s="1">
        <v>2021</v>
      </c>
      <c r="C299" s="1" t="s">
        <v>41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</row>
    <row r="300" spans="1:30" x14ac:dyDescent="0.4">
      <c r="A300" s="1" t="s">
        <v>33</v>
      </c>
      <c r="B300" s="1">
        <v>2021</v>
      </c>
      <c r="C300" s="1" t="s">
        <v>41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 t="s">
        <v>142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</row>
    <row r="301" spans="1:30" x14ac:dyDescent="0.4">
      <c r="A301" s="1" t="s">
        <v>35</v>
      </c>
      <c r="B301" s="1">
        <v>2021</v>
      </c>
      <c r="C301" s="1" t="s">
        <v>41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 t="s">
        <v>142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</row>
    <row r="302" spans="1:30" x14ac:dyDescent="0.4">
      <c r="A302" s="1" t="s">
        <v>30</v>
      </c>
      <c r="B302" s="1">
        <v>2021</v>
      </c>
      <c r="C302" s="1" t="s">
        <v>42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spans="1:30" x14ac:dyDescent="0.4">
      <c r="A303" s="1" t="s">
        <v>33</v>
      </c>
      <c r="B303" s="1">
        <v>2021</v>
      </c>
      <c r="C303" s="1" t="s">
        <v>42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 t="s">
        <v>143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</row>
    <row r="304" spans="1:30" x14ac:dyDescent="0.4">
      <c r="A304" s="1" t="s">
        <v>35</v>
      </c>
      <c r="B304" s="1">
        <v>2021</v>
      </c>
      <c r="C304" s="1" t="s">
        <v>42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 t="s">
        <v>143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</row>
    <row r="305" spans="1:30" x14ac:dyDescent="0.4">
      <c r="A305" s="1" t="s">
        <v>30</v>
      </c>
      <c r="B305" s="1">
        <v>2021</v>
      </c>
      <c r="C305" s="1" t="s">
        <v>44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</row>
    <row r="306" spans="1:30" x14ac:dyDescent="0.4">
      <c r="A306" s="1" t="s">
        <v>33</v>
      </c>
      <c r="B306" s="1">
        <v>2021</v>
      </c>
      <c r="C306" s="1" t="s">
        <v>44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 t="s">
        <v>144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</row>
    <row r="307" spans="1:30" x14ac:dyDescent="0.4">
      <c r="A307" s="1" t="s">
        <v>35</v>
      </c>
      <c r="B307" s="1">
        <v>2021</v>
      </c>
      <c r="C307" s="1" t="s">
        <v>44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 t="s">
        <v>144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</row>
    <row r="308" spans="1:30" x14ac:dyDescent="0.4">
      <c r="A308" s="1" t="s">
        <v>30</v>
      </c>
      <c r="B308" s="1">
        <v>2021</v>
      </c>
      <c r="C308" s="1" t="s">
        <v>46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</row>
    <row r="309" spans="1:30" x14ac:dyDescent="0.4">
      <c r="A309" s="1" t="s">
        <v>33</v>
      </c>
      <c r="B309" s="1">
        <v>2021</v>
      </c>
      <c r="C309" s="1" t="s">
        <v>46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 t="s">
        <v>145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</row>
    <row r="310" spans="1:30" x14ac:dyDescent="0.4">
      <c r="A310" s="1" t="s">
        <v>35</v>
      </c>
      <c r="B310" s="1">
        <v>2021</v>
      </c>
      <c r="C310" s="1" t="s">
        <v>46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 t="s">
        <v>145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</row>
    <row r="311" spans="1:30" x14ac:dyDescent="0.4">
      <c r="A311" s="1" t="s">
        <v>30</v>
      </c>
      <c r="B311" s="1">
        <v>2021</v>
      </c>
      <c r="C311" s="1" t="s">
        <v>48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</row>
    <row r="312" spans="1:30" x14ac:dyDescent="0.4">
      <c r="A312" s="1" t="s">
        <v>33</v>
      </c>
      <c r="B312" s="1">
        <v>2021</v>
      </c>
      <c r="C312" s="1" t="s">
        <v>48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 t="s">
        <v>145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</row>
    <row r="313" spans="1:30" x14ac:dyDescent="0.4">
      <c r="A313" s="1" t="s">
        <v>35</v>
      </c>
      <c r="B313" s="1">
        <v>2021</v>
      </c>
      <c r="C313" s="1" t="s">
        <v>48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 t="s">
        <v>145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</row>
    <row r="314" spans="1:30" x14ac:dyDescent="0.4">
      <c r="A314" s="1" t="s">
        <v>30</v>
      </c>
      <c r="B314" s="1">
        <v>2021</v>
      </c>
      <c r="C314" s="1" t="s">
        <v>50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</row>
    <row r="315" spans="1:30" x14ac:dyDescent="0.4">
      <c r="A315" s="1" t="s">
        <v>33</v>
      </c>
      <c r="B315" s="1">
        <v>2021</v>
      </c>
      <c r="C315" s="1" t="s">
        <v>50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 t="s">
        <v>146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</row>
    <row r="316" spans="1:30" x14ac:dyDescent="0.4">
      <c r="A316" s="1" t="s">
        <v>35</v>
      </c>
      <c r="B316" s="1">
        <v>2021</v>
      </c>
      <c r="C316" s="1" t="s">
        <v>50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 t="s">
        <v>146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</row>
    <row r="317" spans="1:30" x14ac:dyDescent="0.4">
      <c r="A317" s="1" t="s">
        <v>30</v>
      </c>
      <c r="B317" s="1">
        <v>2021</v>
      </c>
      <c r="C317" s="1" t="s">
        <v>53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</row>
    <row r="318" spans="1:30" x14ac:dyDescent="0.4">
      <c r="A318" s="1" t="s">
        <v>33</v>
      </c>
      <c r="B318" s="1">
        <v>2021</v>
      </c>
      <c r="C318" s="1" t="s">
        <v>53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 t="s">
        <v>147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</row>
    <row r="319" spans="1:30" x14ac:dyDescent="0.4">
      <c r="A319" s="1" t="s">
        <v>35</v>
      </c>
      <c r="B319" s="1">
        <v>2021</v>
      </c>
      <c r="C319" s="1" t="s">
        <v>53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 t="s">
        <v>147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</row>
    <row r="320" spans="1:30" x14ac:dyDescent="0.4">
      <c r="A320" s="1" t="s">
        <v>30</v>
      </c>
      <c r="B320" s="1">
        <v>2021</v>
      </c>
      <c r="C320" s="1" t="s">
        <v>55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</row>
    <row r="321" spans="1:30" x14ac:dyDescent="0.4">
      <c r="A321" s="1" t="s">
        <v>33</v>
      </c>
      <c r="B321" s="1">
        <v>2021</v>
      </c>
      <c r="C321" s="1" t="s">
        <v>55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 t="s">
        <v>148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</row>
    <row r="322" spans="1:30" x14ac:dyDescent="0.4">
      <c r="A322" s="1" t="s">
        <v>35</v>
      </c>
      <c r="B322" s="1">
        <v>2021</v>
      </c>
      <c r="C322" s="1" t="s">
        <v>55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 t="s">
        <v>148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</row>
    <row r="323" spans="1:30" x14ac:dyDescent="0.4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</row>
    <row r="324" spans="1:30" x14ac:dyDescent="0.4">
      <c r="A324" s="1" t="s">
        <v>33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 t="s">
        <v>149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</row>
    <row r="325" spans="1:30" x14ac:dyDescent="0.4">
      <c r="A325" s="1" t="s">
        <v>35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 t="s">
        <v>149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</row>
    <row r="326" spans="1:30" x14ac:dyDescent="0.4">
      <c r="A326" s="1" t="s">
        <v>30</v>
      </c>
      <c r="B326" s="1">
        <v>2022</v>
      </c>
      <c r="C326" s="1" t="s">
        <v>36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spans="1:30" x14ac:dyDescent="0.4">
      <c r="A327" s="1" t="s">
        <v>33</v>
      </c>
      <c r="B327" s="1">
        <v>2022</v>
      </c>
      <c r="C327" s="1" t="s">
        <v>36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 t="s">
        <v>150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</row>
    <row r="328" spans="1:30" x14ac:dyDescent="0.4">
      <c r="A328" s="1" t="s">
        <v>35</v>
      </c>
      <c r="B328" s="1">
        <v>2022</v>
      </c>
      <c r="C328" s="1" t="s">
        <v>36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 t="s">
        <v>150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spans="1:30" x14ac:dyDescent="0.4">
      <c r="A329" s="1" t="s">
        <v>30</v>
      </c>
      <c r="B329" s="1">
        <v>2022</v>
      </c>
      <c r="C329" s="1" t="s">
        <v>38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spans="1:30" x14ac:dyDescent="0.4">
      <c r="A330" s="1" t="s">
        <v>33</v>
      </c>
      <c r="B330" s="1">
        <v>2022</v>
      </c>
      <c r="C330" s="1" t="s">
        <v>38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 t="s">
        <v>151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</row>
    <row r="331" spans="1:30" x14ac:dyDescent="0.4">
      <c r="A331" s="1" t="s">
        <v>35</v>
      </c>
      <c r="B331" s="1">
        <v>2022</v>
      </c>
      <c r="C331" s="1" t="s">
        <v>38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 t="s">
        <v>151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</row>
    <row r="332" spans="1:30" x14ac:dyDescent="0.4">
      <c r="A332" s="1" t="s">
        <v>30</v>
      </c>
      <c r="B332" s="1">
        <v>2022</v>
      </c>
      <c r="C332" s="1" t="s">
        <v>39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</row>
    <row r="333" spans="1:30" x14ac:dyDescent="0.4">
      <c r="A333" s="1" t="s">
        <v>33</v>
      </c>
      <c r="B333" s="1">
        <v>2022</v>
      </c>
      <c r="C333" s="1" t="s">
        <v>39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 t="s">
        <v>152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</row>
    <row r="334" spans="1:30" x14ac:dyDescent="0.4">
      <c r="A334" s="1" t="s">
        <v>35</v>
      </c>
      <c r="B334" s="1">
        <v>2022</v>
      </c>
      <c r="C334" s="1" t="s">
        <v>39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 t="s">
        <v>152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spans="1:30" x14ac:dyDescent="0.4">
      <c r="A335" s="1" t="s">
        <v>30</v>
      </c>
      <c r="B335" s="1">
        <v>2022</v>
      </c>
      <c r="C335" s="1" t="s">
        <v>41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spans="1:30" x14ac:dyDescent="0.4">
      <c r="A336" s="1" t="s">
        <v>33</v>
      </c>
      <c r="B336" s="1">
        <v>2022</v>
      </c>
      <c r="C336" s="1" t="s">
        <v>41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 t="s">
        <v>153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</row>
    <row r="337" spans="1:30" x14ac:dyDescent="0.4">
      <c r="A337" s="1" t="s">
        <v>35</v>
      </c>
      <c r="B337" s="1">
        <v>2022</v>
      </c>
      <c r="C337" s="1" t="s">
        <v>41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 t="s">
        <v>153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spans="1:30" x14ac:dyDescent="0.4">
      <c r="A338" s="1" t="s">
        <v>30</v>
      </c>
      <c r="B338" s="1">
        <v>2022</v>
      </c>
      <c r="C338" s="1" t="s">
        <v>42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</row>
    <row r="339" spans="1:30" x14ac:dyDescent="0.4">
      <c r="A339" s="1" t="s">
        <v>33</v>
      </c>
      <c r="B339" s="1">
        <v>2022</v>
      </c>
      <c r="C339" s="1" t="s">
        <v>42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 t="s">
        <v>154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</row>
    <row r="340" spans="1:30" x14ac:dyDescent="0.4">
      <c r="A340" s="1" t="s">
        <v>35</v>
      </c>
      <c r="B340" s="1">
        <v>2022</v>
      </c>
      <c r="C340" s="1" t="s">
        <v>42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 t="s">
        <v>154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</row>
    <row r="341" spans="1:30" x14ac:dyDescent="0.4">
      <c r="A341" s="1" t="s">
        <v>30</v>
      </c>
      <c r="B341" s="1">
        <v>2022</v>
      </c>
      <c r="C341" s="1" t="s">
        <v>44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spans="1:30" x14ac:dyDescent="0.4">
      <c r="A342" s="1" t="s">
        <v>33</v>
      </c>
      <c r="B342" s="1">
        <v>2022</v>
      </c>
      <c r="C342" s="1" t="s">
        <v>44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 t="s">
        <v>155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spans="1:30" x14ac:dyDescent="0.4">
      <c r="A343" s="1" t="s">
        <v>35</v>
      </c>
      <c r="B343" s="1">
        <v>2022</v>
      </c>
      <c r="C343" s="1" t="s">
        <v>44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 t="s">
        <v>155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spans="1:30" x14ac:dyDescent="0.4">
      <c r="A344" s="1" t="s">
        <v>30</v>
      </c>
      <c r="B344" s="1">
        <v>2022</v>
      </c>
      <c r="C344" s="1" t="s">
        <v>46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spans="1:30" x14ac:dyDescent="0.4">
      <c r="A345" s="1" t="s">
        <v>33</v>
      </c>
      <c r="B345" s="1">
        <v>2022</v>
      </c>
      <c r="C345" s="1" t="s">
        <v>46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 t="s">
        <v>156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spans="1:30" x14ac:dyDescent="0.4">
      <c r="A346" s="1" t="s">
        <v>35</v>
      </c>
      <c r="B346" s="1">
        <v>2022</v>
      </c>
      <c r="C346" s="1" t="s">
        <v>46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 t="s">
        <v>156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spans="1:30" x14ac:dyDescent="0.4">
      <c r="A347" s="1" t="s">
        <v>30</v>
      </c>
      <c r="B347" s="1">
        <v>2022</v>
      </c>
      <c r="C347" s="1" t="s">
        <v>48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</row>
    <row r="348" spans="1:30" x14ac:dyDescent="0.4">
      <c r="A348" s="1" t="s">
        <v>33</v>
      </c>
      <c r="B348" s="1">
        <v>2022</v>
      </c>
      <c r="C348" s="1" t="s">
        <v>48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 t="s">
        <v>157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spans="1:30" x14ac:dyDescent="0.4">
      <c r="A349" s="1" t="s">
        <v>35</v>
      </c>
      <c r="B349" s="1">
        <v>2022</v>
      </c>
      <c r="C349" s="1" t="s">
        <v>48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 t="s">
        <v>157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spans="1:30" x14ac:dyDescent="0.4">
      <c r="A350" s="1" t="s">
        <v>30</v>
      </c>
      <c r="B350" s="1">
        <v>2022</v>
      </c>
      <c r="C350" s="1" t="s">
        <v>50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</row>
    <row r="351" spans="1:30" x14ac:dyDescent="0.4">
      <c r="A351" s="1" t="s">
        <v>33</v>
      </c>
      <c r="B351" s="1">
        <v>2022</v>
      </c>
      <c r="C351" s="1" t="s">
        <v>50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 t="s">
        <v>158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spans="1:30" x14ac:dyDescent="0.4">
      <c r="A352" s="1" t="s">
        <v>35</v>
      </c>
      <c r="B352" s="1">
        <v>2022</v>
      </c>
      <c r="C352" s="1" t="s">
        <v>50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 t="s">
        <v>158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spans="1:30" x14ac:dyDescent="0.4">
      <c r="A353" s="1" t="s">
        <v>30</v>
      </c>
      <c r="B353" s="1">
        <v>2022</v>
      </c>
      <c r="C353" s="1" t="s">
        <v>53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spans="1:30" x14ac:dyDescent="0.4">
      <c r="A354" s="1" t="s">
        <v>33</v>
      </c>
      <c r="B354" s="1">
        <v>2022</v>
      </c>
      <c r="C354" s="1" t="s">
        <v>53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 t="s">
        <v>159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spans="1:30" x14ac:dyDescent="0.4">
      <c r="A355" s="1" t="s">
        <v>35</v>
      </c>
      <c r="B355" s="1">
        <v>2022</v>
      </c>
      <c r="C355" s="1" t="s">
        <v>53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 t="s">
        <v>159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spans="1:30" x14ac:dyDescent="0.4">
      <c r="A356" s="1" t="s">
        <v>30</v>
      </c>
      <c r="B356" s="1">
        <v>2022</v>
      </c>
      <c r="C356" s="1" t="s">
        <v>55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spans="1:30" x14ac:dyDescent="0.4">
      <c r="A357" s="1" t="s">
        <v>33</v>
      </c>
      <c r="B357" s="1">
        <v>2022</v>
      </c>
      <c r="C357" s="1" t="s">
        <v>55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 t="s">
        <v>160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</row>
    <row r="358" spans="1:30" x14ac:dyDescent="0.4">
      <c r="A358" s="1" t="s">
        <v>35</v>
      </c>
      <c r="B358" s="1">
        <v>2022</v>
      </c>
      <c r="C358" s="1" t="s">
        <v>55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 t="s">
        <v>160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</row>
    <row r="359" spans="1:30" x14ac:dyDescent="0.4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spans="1:30" x14ac:dyDescent="0.4">
      <c r="A360" s="1" t="s">
        <v>33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 t="s">
        <v>161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spans="1:30" x14ac:dyDescent="0.4">
      <c r="A361" s="1" t="s">
        <v>35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 t="s">
        <v>161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spans="1:30" x14ac:dyDescent="0.4">
      <c r="A362" s="1" t="s">
        <v>30</v>
      </c>
      <c r="B362" s="1">
        <v>2023</v>
      </c>
      <c r="C362" s="1" t="s">
        <v>36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</row>
    <row r="363" spans="1:30" x14ac:dyDescent="0.4">
      <c r="A363" s="1" t="s">
        <v>33</v>
      </c>
      <c r="B363" s="1">
        <v>2023</v>
      </c>
      <c r="C363" s="1" t="s">
        <v>36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 t="s">
        <v>162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</row>
    <row r="364" spans="1:30" x14ac:dyDescent="0.4">
      <c r="A364" s="1" t="s">
        <v>35</v>
      </c>
      <c r="B364" s="1">
        <v>2023</v>
      </c>
      <c r="C364" s="1" t="s">
        <v>36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 t="s">
        <v>162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</row>
    <row r="365" spans="1:30" x14ac:dyDescent="0.4">
      <c r="A365" s="1" t="s">
        <v>30</v>
      </c>
      <c r="B365" s="1">
        <v>2023</v>
      </c>
      <c r="C365" s="1" t="s">
        <v>38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</row>
    <row r="366" spans="1:30" x14ac:dyDescent="0.4">
      <c r="A366" s="1" t="s">
        <v>33</v>
      </c>
      <c r="B366" s="1">
        <v>2023</v>
      </c>
      <c r="C366" s="1" t="s">
        <v>38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 t="s">
        <v>162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</row>
    <row r="367" spans="1:30" x14ac:dyDescent="0.4">
      <c r="A367" s="1" t="s">
        <v>35</v>
      </c>
      <c r="B367" s="1">
        <v>2023</v>
      </c>
      <c r="C367" s="1" t="s">
        <v>38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 t="s">
        <v>162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</row>
    <row r="368" spans="1:30" x14ac:dyDescent="0.4">
      <c r="A368" s="1" t="s">
        <v>30</v>
      </c>
      <c r="B368" s="1">
        <v>2023</v>
      </c>
      <c r="C368" s="1" t="s">
        <v>39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139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spans="1:30" x14ac:dyDescent="0.4">
      <c r="A369" s="1" t="s">
        <v>33</v>
      </c>
      <c r="B369" s="1">
        <v>2023</v>
      </c>
      <c r="C369" s="1" t="s">
        <v>39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 t="s">
        <v>163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spans="1:30" x14ac:dyDescent="0.4">
      <c r="A370" s="1" t="s">
        <v>35</v>
      </c>
      <c r="B370" s="1">
        <v>2023</v>
      </c>
      <c r="C370" s="1" t="s">
        <v>39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 t="s">
        <v>163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</row>
    <row r="371" spans="1:30" x14ac:dyDescent="0.4">
      <c r="A371" s="1" t="s">
        <v>30</v>
      </c>
      <c r="B371" s="1">
        <v>2023</v>
      </c>
      <c r="C371" s="1" t="s">
        <v>41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139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spans="1:30" x14ac:dyDescent="0.4">
      <c r="A372" s="1" t="s">
        <v>33</v>
      </c>
      <c r="B372" s="1">
        <v>2023</v>
      </c>
      <c r="C372" s="1" t="s">
        <v>41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 t="s">
        <v>164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spans="1:30" x14ac:dyDescent="0.4">
      <c r="A373" s="1" t="s">
        <v>35</v>
      </c>
      <c r="B373" s="1">
        <v>2023</v>
      </c>
      <c r="C373" s="1" t="s">
        <v>41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 t="s">
        <v>164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25" workbookViewId="0">
      <selection sqref="A1:C31"/>
    </sheetView>
  </sheetViews>
  <sheetFormatPr defaultRowHeight="21" x14ac:dyDescent="0.4"/>
  <cols>
    <col min="3" max="3" width="20.140625" bestFit="1" customWidth="1"/>
  </cols>
  <sheetData>
    <row r="1" spans="1:3" x14ac:dyDescent="0.4">
      <c r="A1" t="s">
        <v>1</v>
      </c>
      <c r="B1" t="s">
        <v>2</v>
      </c>
      <c r="C1" t="s">
        <v>207</v>
      </c>
    </row>
    <row r="2" spans="1:3" x14ac:dyDescent="0.4">
      <c r="A2">
        <v>2020</v>
      </c>
      <c r="B2" t="s">
        <v>208</v>
      </c>
      <c r="C2">
        <v>49.9</v>
      </c>
    </row>
    <row r="3" spans="1:3" x14ac:dyDescent="0.4">
      <c r="A3">
        <v>2021</v>
      </c>
      <c r="B3" t="s">
        <v>209</v>
      </c>
      <c r="C3">
        <v>54.6</v>
      </c>
    </row>
    <row r="4" spans="1:3" x14ac:dyDescent="0.4">
      <c r="A4">
        <v>2021</v>
      </c>
      <c r="B4" t="s">
        <v>210</v>
      </c>
      <c r="C4">
        <v>62</v>
      </c>
    </row>
    <row r="5" spans="1:3" x14ac:dyDescent="0.4">
      <c r="A5">
        <v>2021</v>
      </c>
      <c r="B5" t="s">
        <v>211</v>
      </c>
      <c r="C5">
        <v>65.2</v>
      </c>
    </row>
    <row r="6" spans="1:3" x14ac:dyDescent="0.4">
      <c r="A6">
        <v>2021</v>
      </c>
      <c r="B6" t="s">
        <v>212</v>
      </c>
      <c r="C6">
        <v>64.8</v>
      </c>
    </row>
    <row r="7" spans="1:3" x14ac:dyDescent="0.4">
      <c r="A7">
        <v>2021</v>
      </c>
      <c r="B7" t="s">
        <v>41</v>
      </c>
      <c r="C7">
        <v>68</v>
      </c>
    </row>
    <row r="8" spans="1:3" x14ac:dyDescent="0.4">
      <c r="A8">
        <v>2021</v>
      </c>
      <c r="B8" t="s">
        <v>213</v>
      </c>
      <c r="C8">
        <v>73.099999999999994</v>
      </c>
    </row>
    <row r="9" spans="1:3" x14ac:dyDescent="0.4">
      <c r="A9">
        <v>2021</v>
      </c>
      <c r="B9" t="s">
        <v>214</v>
      </c>
      <c r="C9">
        <v>74.400000000000006</v>
      </c>
    </row>
    <row r="10" spans="1:3" x14ac:dyDescent="0.4">
      <c r="A10">
        <v>2021</v>
      </c>
      <c r="B10" t="s">
        <v>215</v>
      </c>
      <c r="C10">
        <v>70</v>
      </c>
    </row>
    <row r="11" spans="1:3" x14ac:dyDescent="0.4">
      <c r="A11">
        <v>2021</v>
      </c>
      <c r="B11" t="s">
        <v>216</v>
      </c>
      <c r="C11">
        <v>74.599999999999994</v>
      </c>
    </row>
    <row r="12" spans="1:3" x14ac:dyDescent="0.4">
      <c r="A12">
        <v>2021</v>
      </c>
      <c r="B12" t="s">
        <v>217</v>
      </c>
      <c r="C12">
        <v>83.7</v>
      </c>
    </row>
    <row r="13" spans="1:3" x14ac:dyDescent="0.4">
      <c r="A13">
        <v>2021</v>
      </c>
      <c r="B13" t="s">
        <v>218</v>
      </c>
      <c r="C13">
        <v>80.8</v>
      </c>
    </row>
    <row r="14" spans="1:3" x14ac:dyDescent="0.4">
      <c r="A14">
        <v>2021</v>
      </c>
      <c r="B14" t="s">
        <v>208</v>
      </c>
      <c r="C14">
        <v>74.3</v>
      </c>
    </row>
    <row r="15" spans="1:3" x14ac:dyDescent="0.4">
      <c r="A15">
        <v>2022</v>
      </c>
      <c r="B15" t="s">
        <v>209</v>
      </c>
      <c r="C15">
        <v>85.5</v>
      </c>
    </row>
    <row r="16" spans="1:3" x14ac:dyDescent="0.4">
      <c r="A16">
        <v>2022</v>
      </c>
      <c r="B16" t="s">
        <v>210</v>
      </c>
      <c r="C16">
        <v>95.8</v>
      </c>
    </row>
    <row r="17" spans="1:3" x14ac:dyDescent="0.4">
      <c r="A17">
        <v>2022</v>
      </c>
      <c r="B17" t="s">
        <v>211</v>
      </c>
      <c r="C17">
        <v>115.6</v>
      </c>
    </row>
    <row r="18" spans="1:3" x14ac:dyDescent="0.4">
      <c r="A18">
        <v>2022</v>
      </c>
      <c r="B18" t="s">
        <v>212</v>
      </c>
      <c r="C18">
        <v>105.8</v>
      </c>
    </row>
    <row r="19" spans="1:3" x14ac:dyDescent="0.4">
      <c r="A19">
        <v>2022</v>
      </c>
      <c r="B19" t="s">
        <v>41</v>
      </c>
      <c r="C19">
        <v>112.4</v>
      </c>
    </row>
    <row r="20" spans="1:3" x14ac:dyDescent="0.4">
      <c r="A20">
        <v>2022</v>
      </c>
      <c r="B20" t="s">
        <v>213</v>
      </c>
      <c r="C20">
        <v>120.1</v>
      </c>
    </row>
    <row r="21" spans="1:3" x14ac:dyDescent="0.4">
      <c r="A21">
        <v>2022</v>
      </c>
      <c r="B21" t="s">
        <v>214</v>
      </c>
      <c r="C21">
        <v>108.9</v>
      </c>
    </row>
    <row r="22" spans="1:3" x14ac:dyDescent="0.4">
      <c r="A22">
        <v>2022</v>
      </c>
      <c r="B22" t="s">
        <v>215</v>
      </c>
      <c r="C22">
        <v>98.6</v>
      </c>
    </row>
    <row r="23" spans="1:3" x14ac:dyDescent="0.4">
      <c r="A23">
        <v>2022</v>
      </c>
      <c r="B23" t="s">
        <v>216</v>
      </c>
      <c r="C23">
        <v>90.2</v>
      </c>
    </row>
    <row r="24" spans="1:3" x14ac:dyDescent="0.4">
      <c r="A24">
        <v>2022</v>
      </c>
      <c r="B24" t="s">
        <v>217</v>
      </c>
      <c r="C24">
        <v>93.1</v>
      </c>
    </row>
    <row r="25" spans="1:3" x14ac:dyDescent="0.4">
      <c r="A25">
        <v>2022</v>
      </c>
      <c r="B25" t="s">
        <v>218</v>
      </c>
      <c r="C25">
        <v>91.1</v>
      </c>
    </row>
    <row r="26" spans="1:3" x14ac:dyDescent="0.4">
      <c r="A26">
        <v>2022</v>
      </c>
      <c r="B26" t="s">
        <v>208</v>
      </c>
      <c r="C26">
        <v>80.900000000000006</v>
      </c>
    </row>
    <row r="27" spans="1:3" x14ac:dyDescent="0.4">
      <c r="A27">
        <v>2023</v>
      </c>
      <c r="B27" t="s">
        <v>209</v>
      </c>
      <c r="C27">
        <v>83.1</v>
      </c>
    </row>
    <row r="28" spans="1:3" x14ac:dyDescent="0.4">
      <c r="A28">
        <v>2023</v>
      </c>
      <c r="B28" t="s">
        <v>210</v>
      </c>
      <c r="C28">
        <v>82.7</v>
      </c>
    </row>
    <row r="29" spans="1:3" x14ac:dyDescent="0.4">
      <c r="A29">
        <v>2023</v>
      </c>
      <c r="B29" t="s">
        <v>211</v>
      </c>
      <c r="C29">
        <v>78.5</v>
      </c>
    </row>
    <row r="30" spans="1:3" x14ac:dyDescent="0.4">
      <c r="A30">
        <v>2023</v>
      </c>
      <c r="B30" t="s">
        <v>212</v>
      </c>
      <c r="C30">
        <v>84.1</v>
      </c>
    </row>
    <row r="31" spans="1:3" x14ac:dyDescent="0.4">
      <c r="A31">
        <v>2023</v>
      </c>
      <c r="B31" t="s">
        <v>41</v>
      </c>
      <c r="C31">
        <v>75.7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149255-97E9-48B6-8855-5B48C7C6BC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Objective5</vt:lpstr>
      <vt:lpstr>Objective4</vt:lpstr>
      <vt:lpstr>Objective3</vt:lpstr>
      <vt:lpstr>Objective2</vt:lpstr>
      <vt:lpstr>Objective1</vt:lpstr>
      <vt:lpstr>Notes</vt:lpstr>
      <vt:lpstr>Sample_Size_Study</vt:lpstr>
      <vt:lpstr>Raw_Data</vt:lpstr>
      <vt:lpstr>Imported</vt:lpstr>
      <vt:lpstr>Crude_Oil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</dc:creator>
  <cp:lastModifiedBy>karan</cp:lastModifiedBy>
  <dcterms:created xsi:type="dcterms:W3CDTF">2026-09-21T18:37:48Z</dcterms:created>
  <dcterms:modified xsi:type="dcterms:W3CDTF">2026-09-25T12:09:29Z</dcterms:modified>
</cp:coreProperties>
</file>